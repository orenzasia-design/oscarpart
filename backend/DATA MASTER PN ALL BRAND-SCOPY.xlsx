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i Syofyan\OneDrive\Dokumen\001. on working\1. OSCAR\PARTBOOK UPDATE\"/>
    </mc:Choice>
  </mc:AlternateContent>
  <xr:revisionPtr revIDLastSave="0" documentId="13_ncr:1_{7366EE9D-CA38-48F7-8E96-DA752F361C69}" xr6:coauthVersionLast="47" xr6:coauthVersionMax="47" xr10:uidLastSave="{00000000-0000-0000-0000-000000000000}"/>
  <bookViews>
    <workbookView xWindow="-108" yWindow="-108" windowWidth="23256" windowHeight="12456" tabRatio="919" xr2:uid="{2FFF962B-7333-45D8-8A1B-87622414CE79}"/>
  </bookViews>
  <sheets>
    <sheet name="RESUME ALL PARTS BRANDS" sheetId="25" r:id="rId1"/>
  </sheets>
  <externalReferences>
    <externalReference r:id="rId2"/>
  </externalReferences>
  <definedNames>
    <definedName name="_xlnm._FilterDatabase" localSheetId="0" hidden="1">'RESUME ALL PARTS BRANDS'!$J$1:$J$793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8" i="25" l="1"/>
  <c r="J208" i="25"/>
  <c r="I212" i="25"/>
  <c r="J212" i="25"/>
  <c r="I441" i="25"/>
  <c r="J441" i="25"/>
  <c r="I442" i="25"/>
  <c r="J442" i="25"/>
  <c r="I443" i="25"/>
  <c r="I444" i="25"/>
  <c r="I445" i="25"/>
  <c r="J445" i="25"/>
  <c r="I446" i="25"/>
  <c r="J446" i="25"/>
  <c r="I447" i="25"/>
  <c r="I448" i="25"/>
  <c r="I449" i="25"/>
  <c r="J449" i="25"/>
  <c r="I450" i="25"/>
  <c r="I451" i="25"/>
  <c r="I452" i="25"/>
  <c r="J452" i="25"/>
  <c r="I453" i="25"/>
  <c r="J453" i="25"/>
  <c r="I454" i="25"/>
  <c r="J454" i="25"/>
  <c r="I455" i="25"/>
  <c r="I456" i="25"/>
  <c r="I457" i="25"/>
  <c r="I458" i="25"/>
  <c r="I459" i="25"/>
  <c r="I460" i="25"/>
  <c r="J460" i="25"/>
  <c r="I461" i="25"/>
  <c r="I462" i="25"/>
  <c r="J462" i="25"/>
  <c r="I463" i="25"/>
  <c r="J463" i="25"/>
  <c r="I464" i="25"/>
  <c r="J464" i="25"/>
  <c r="I465" i="25"/>
  <c r="I466" i="25"/>
  <c r="I467" i="25"/>
  <c r="J467" i="25"/>
  <c r="I468" i="25"/>
  <c r="J468" i="25"/>
  <c r="I469" i="25"/>
  <c r="I470" i="25"/>
  <c r="I471" i="25"/>
  <c r="J471" i="25"/>
  <c r="I472" i="25"/>
  <c r="J472" i="25"/>
  <c r="I473" i="25"/>
  <c r="J473" i="25"/>
  <c r="I474" i="25"/>
  <c r="J474" i="25"/>
  <c r="I475" i="25"/>
  <c r="J475" i="25"/>
  <c r="I476" i="25"/>
  <c r="J476" i="25"/>
  <c r="I477" i="25"/>
  <c r="J477" i="25"/>
  <c r="I478" i="25"/>
  <c r="I479" i="25"/>
  <c r="J479" i="25"/>
  <c r="I480" i="25"/>
  <c r="J480" i="25"/>
  <c r="I481" i="25"/>
  <c r="J481" i="25"/>
  <c r="I482" i="25"/>
  <c r="J482" i="25"/>
  <c r="I483" i="25"/>
  <c r="J483" i="25"/>
  <c r="I484" i="25"/>
  <c r="I485" i="25"/>
  <c r="J485" i="25"/>
  <c r="I486" i="25"/>
  <c r="I487" i="25"/>
  <c r="J487" i="25"/>
  <c r="I488" i="25"/>
  <c r="J488" i="25"/>
  <c r="I489" i="25"/>
  <c r="J489" i="25"/>
  <c r="I490" i="25"/>
  <c r="I491" i="25"/>
  <c r="J491" i="25"/>
  <c r="I492" i="25"/>
  <c r="I493" i="25"/>
  <c r="I494" i="25"/>
  <c r="J495" i="25"/>
  <c r="I496" i="25"/>
  <c r="I497" i="25"/>
  <c r="I498" i="25"/>
  <c r="I499" i="25"/>
  <c r="I501" i="25"/>
  <c r="I502" i="25"/>
  <c r="I503" i="25"/>
  <c r="J503" i="25"/>
  <c r="I504" i="25"/>
  <c r="J504" i="25"/>
  <c r="I505" i="25"/>
  <c r="J505" i="25"/>
  <c r="I506" i="25"/>
  <c r="J506" i="25"/>
  <c r="I507" i="25"/>
  <c r="J507" i="25"/>
  <c r="I508" i="25"/>
  <c r="J508" i="25"/>
  <c r="I509" i="25"/>
  <c r="J509" i="25"/>
  <c r="I510" i="25"/>
  <c r="J510" i="25"/>
  <c r="I511" i="25"/>
  <c r="J511" i="25"/>
  <c r="I512" i="25"/>
  <c r="I513" i="25"/>
  <c r="J513" i="25"/>
  <c r="I514" i="25"/>
  <c r="J514" i="25"/>
  <c r="I515" i="25"/>
  <c r="J515" i="25"/>
  <c r="I516" i="25"/>
  <c r="J516" i="25"/>
  <c r="I517" i="25"/>
  <c r="I518" i="25"/>
  <c r="J518" i="25"/>
  <c r="I519" i="25"/>
  <c r="J519" i="25"/>
  <c r="I520" i="25"/>
  <c r="J520" i="25"/>
  <c r="I521" i="25"/>
  <c r="J521" i="25"/>
  <c r="I522" i="25"/>
  <c r="J522" i="25"/>
  <c r="I523" i="25"/>
  <c r="J523" i="25"/>
  <c r="I524" i="25"/>
  <c r="I525" i="25"/>
  <c r="J525" i="25"/>
  <c r="I526" i="25"/>
  <c r="J526" i="25"/>
  <c r="I527" i="25"/>
  <c r="J527" i="25"/>
  <c r="I528" i="25"/>
  <c r="J528" i="25"/>
  <c r="I529" i="25"/>
  <c r="J529" i="25"/>
  <c r="I530" i="25"/>
  <c r="J530" i="25"/>
  <c r="I531" i="25"/>
  <c r="I532" i="25"/>
  <c r="J532" i="25"/>
  <c r="I533" i="25"/>
  <c r="J533" i="25"/>
  <c r="I534" i="25"/>
  <c r="J534" i="25"/>
  <c r="I535" i="25"/>
  <c r="J535" i="25"/>
  <c r="I536" i="25"/>
  <c r="I537" i="25"/>
  <c r="J537" i="25"/>
  <c r="I538" i="25"/>
  <c r="J538" i="25"/>
  <c r="J539" i="25"/>
  <c r="I540" i="25"/>
  <c r="I541" i="25"/>
  <c r="J541" i="25"/>
  <c r="I542" i="25"/>
  <c r="J542" i="25"/>
  <c r="I543" i="25"/>
  <c r="I544" i="25"/>
  <c r="J544" i="25"/>
  <c r="I545" i="25"/>
  <c r="J545" i="25"/>
  <c r="I546" i="25"/>
  <c r="J546" i="25"/>
  <c r="I547" i="25"/>
  <c r="J547" i="25"/>
  <c r="I548" i="25"/>
  <c r="J548" i="25"/>
  <c r="I549" i="25"/>
  <c r="J549" i="25"/>
  <c r="I550" i="25"/>
  <c r="I551" i="25"/>
  <c r="J551" i="25"/>
  <c r="I552" i="25"/>
  <c r="I553" i="25"/>
  <c r="I554" i="25"/>
  <c r="J554" i="25"/>
  <c r="I555" i="25"/>
  <c r="I556" i="25"/>
  <c r="J556" i="25"/>
  <c r="I557" i="25"/>
  <c r="I558" i="25"/>
  <c r="I559" i="25"/>
  <c r="I560" i="25"/>
  <c r="J560" i="25"/>
  <c r="I561" i="25"/>
  <c r="I562" i="25"/>
  <c r="I563" i="25"/>
  <c r="J563" i="25"/>
  <c r="I564" i="25"/>
  <c r="J564" i="25"/>
  <c r="I565" i="25"/>
  <c r="I566" i="25"/>
  <c r="J566" i="25"/>
  <c r="I567" i="25"/>
  <c r="J567" i="25"/>
  <c r="I568" i="25"/>
  <c r="J568" i="25"/>
  <c r="I569" i="25"/>
  <c r="I570" i="25"/>
  <c r="J570" i="25"/>
  <c r="I571" i="25"/>
  <c r="J571" i="25"/>
  <c r="I572" i="25"/>
  <c r="I573" i="25"/>
  <c r="J573" i="25"/>
  <c r="I574" i="25"/>
  <c r="I575" i="25"/>
  <c r="J575" i="25"/>
  <c r="I576" i="25"/>
  <c r="J576" i="25"/>
  <c r="I577" i="25"/>
  <c r="J577" i="25"/>
  <c r="I578" i="25"/>
  <c r="J578" i="25"/>
  <c r="I579" i="25"/>
  <c r="J579" i="25"/>
  <c r="I580" i="25"/>
  <c r="J580" i="25"/>
  <c r="I581" i="25"/>
  <c r="J581" i="25"/>
  <c r="I582" i="25"/>
  <c r="J582" i="25"/>
  <c r="I583" i="25"/>
  <c r="J583" i="25"/>
  <c r="I584" i="25"/>
  <c r="J584" i="25"/>
  <c r="I585" i="25"/>
  <c r="J585" i="25"/>
  <c r="I586" i="25"/>
  <c r="J586" i="25"/>
  <c r="I587" i="25"/>
  <c r="I588" i="25"/>
  <c r="J588" i="25"/>
  <c r="I589" i="25"/>
  <c r="I590" i="25"/>
  <c r="J590" i="25"/>
  <c r="I591" i="25"/>
  <c r="J591" i="25"/>
  <c r="I592" i="25"/>
  <c r="J592" i="25"/>
  <c r="I593" i="25"/>
  <c r="J593" i="25"/>
  <c r="I594" i="25"/>
  <c r="J594" i="25"/>
  <c r="I595" i="25"/>
  <c r="J595" i="25"/>
  <c r="I596" i="25"/>
  <c r="J596" i="25"/>
  <c r="I597" i="25"/>
  <c r="J597" i="25"/>
  <c r="I598" i="25"/>
  <c r="J598" i="25"/>
  <c r="I599" i="25"/>
  <c r="J599" i="25"/>
  <c r="I600" i="25"/>
  <c r="J600" i="25"/>
  <c r="I601" i="25"/>
  <c r="J601" i="25"/>
  <c r="I602" i="25"/>
  <c r="I603" i="25"/>
  <c r="J603" i="25"/>
  <c r="I604" i="25"/>
  <c r="J604" i="25"/>
  <c r="I605" i="25"/>
  <c r="I606" i="25"/>
  <c r="J606" i="25"/>
  <c r="I607" i="25"/>
  <c r="J607" i="25"/>
  <c r="I608" i="25"/>
  <c r="J608" i="25"/>
  <c r="I609" i="25"/>
  <c r="J609" i="25"/>
  <c r="I610" i="25"/>
  <c r="J610" i="25"/>
  <c r="I611" i="25"/>
  <c r="J611" i="25"/>
  <c r="I612" i="25"/>
  <c r="J612" i="25"/>
  <c r="I613" i="25"/>
  <c r="J613" i="25"/>
  <c r="I614" i="25"/>
  <c r="J614" i="25"/>
  <c r="I615" i="25"/>
  <c r="I616" i="25"/>
  <c r="J616" i="25"/>
  <c r="I617" i="25"/>
  <c r="J617" i="25"/>
  <c r="I618" i="25"/>
  <c r="J618" i="25"/>
  <c r="I619" i="25"/>
  <c r="J619" i="25"/>
  <c r="I620" i="25"/>
  <c r="I621" i="25"/>
  <c r="I622" i="25"/>
  <c r="I623" i="25"/>
  <c r="J623" i="25"/>
  <c r="I624" i="25"/>
  <c r="I625" i="25"/>
  <c r="J625" i="25"/>
  <c r="I626" i="25"/>
  <c r="I627" i="25"/>
  <c r="J627" i="25"/>
  <c r="I628" i="25"/>
  <c r="I629" i="25"/>
  <c r="J629" i="25"/>
  <c r="I630" i="25"/>
  <c r="J630" i="25"/>
  <c r="I631" i="25"/>
  <c r="J631" i="25"/>
  <c r="I632" i="25"/>
  <c r="J632" i="25"/>
  <c r="I633" i="25"/>
  <c r="J633" i="25"/>
  <c r="I634" i="25"/>
  <c r="I635" i="25"/>
  <c r="I636" i="25"/>
  <c r="J636" i="25"/>
  <c r="I637" i="25"/>
  <c r="J637" i="25"/>
  <c r="I638" i="25"/>
  <c r="I639" i="25"/>
  <c r="J639" i="25"/>
  <c r="I640" i="25"/>
  <c r="I641" i="25"/>
  <c r="J641" i="25"/>
  <c r="I642" i="25"/>
  <c r="J642" i="25"/>
  <c r="I643" i="25"/>
  <c r="J643" i="25"/>
  <c r="I644" i="25"/>
  <c r="J644" i="25"/>
  <c r="I645" i="25"/>
  <c r="J645" i="25"/>
  <c r="I646" i="25"/>
  <c r="J646" i="25"/>
  <c r="I647" i="25"/>
  <c r="I648" i="25"/>
  <c r="J648" i="25"/>
  <c r="I649" i="25"/>
  <c r="J649" i="25"/>
  <c r="I650" i="25"/>
  <c r="J650" i="25"/>
  <c r="I651" i="25"/>
  <c r="I652" i="25"/>
  <c r="J652" i="25"/>
  <c r="I653" i="25"/>
  <c r="J653" i="25"/>
  <c r="I654" i="25"/>
  <c r="I655" i="25"/>
  <c r="J655" i="25"/>
  <c r="I656" i="25"/>
  <c r="I657" i="25"/>
  <c r="I658" i="25"/>
  <c r="I659" i="25"/>
  <c r="I660" i="25"/>
  <c r="J660" i="25"/>
  <c r="I661" i="25"/>
  <c r="J661" i="25"/>
  <c r="I662" i="25"/>
  <c r="J662" i="25"/>
  <c r="I663" i="25"/>
  <c r="I664" i="25"/>
  <c r="I665" i="25"/>
  <c r="J665" i="25"/>
  <c r="I666" i="25"/>
  <c r="J666" i="25"/>
  <c r="I668" i="25"/>
  <c r="J668" i="25"/>
  <c r="I669" i="25"/>
  <c r="I670" i="25"/>
  <c r="I671" i="25"/>
  <c r="I672" i="25"/>
  <c r="J672" i="25"/>
  <c r="I673" i="25"/>
  <c r="J673" i="25"/>
  <c r="I674" i="25"/>
  <c r="I675" i="25"/>
  <c r="I676" i="25"/>
  <c r="J676" i="25"/>
  <c r="I677" i="25"/>
  <c r="I678" i="25"/>
  <c r="I679" i="25"/>
  <c r="J679" i="25"/>
  <c r="I680" i="25"/>
  <c r="J680" i="25"/>
  <c r="I681" i="25"/>
  <c r="J681" i="25"/>
  <c r="I682" i="25"/>
  <c r="J682" i="25"/>
  <c r="I683" i="25"/>
  <c r="I684" i="25"/>
  <c r="I685" i="25"/>
  <c r="I686" i="25"/>
  <c r="I687" i="25"/>
  <c r="I688" i="25"/>
  <c r="I689" i="25"/>
  <c r="J689" i="25"/>
  <c r="I690" i="25"/>
  <c r="I691" i="25"/>
  <c r="I692" i="25"/>
  <c r="J692" i="25"/>
  <c r="I693" i="25"/>
  <c r="J693" i="25"/>
  <c r="I694" i="25"/>
  <c r="J694" i="25"/>
  <c r="I695" i="25"/>
  <c r="J695" i="25"/>
  <c r="I696" i="25"/>
  <c r="J696" i="25"/>
  <c r="I697" i="25"/>
  <c r="J697" i="25"/>
  <c r="I698" i="25"/>
  <c r="J698" i="25"/>
  <c r="I699" i="25"/>
  <c r="I700" i="25"/>
  <c r="J700" i="25"/>
  <c r="I701" i="25"/>
  <c r="J701" i="25"/>
  <c r="I702" i="25"/>
  <c r="I703" i="25"/>
  <c r="I704" i="25"/>
  <c r="J704" i="25"/>
  <c r="I705" i="25"/>
  <c r="J705" i="25"/>
  <c r="I706" i="25"/>
  <c r="J706" i="25"/>
  <c r="I707" i="25"/>
  <c r="I708" i="25"/>
  <c r="J708" i="25"/>
  <c r="I709" i="25"/>
  <c r="J709" i="25"/>
  <c r="I710" i="25"/>
  <c r="J710" i="25"/>
  <c r="I711" i="25"/>
  <c r="I712" i="25"/>
  <c r="I713" i="25"/>
  <c r="J713" i="25"/>
  <c r="I714" i="25"/>
  <c r="J714" i="25"/>
  <c r="I715" i="25"/>
  <c r="J715" i="25"/>
  <c r="I716" i="25"/>
  <c r="I717" i="25"/>
  <c r="J717" i="25"/>
  <c r="I718" i="25"/>
  <c r="J718" i="25"/>
  <c r="I719" i="25"/>
  <c r="I720" i="25"/>
  <c r="I721" i="25"/>
  <c r="I722" i="25"/>
  <c r="J722" i="25"/>
  <c r="I723" i="25"/>
  <c r="I724" i="25"/>
  <c r="J724" i="25"/>
  <c r="I725" i="25"/>
  <c r="J725" i="25"/>
  <c r="I726" i="25"/>
  <c r="I727" i="25"/>
  <c r="J727" i="25"/>
  <c r="I728" i="25"/>
  <c r="I729" i="25"/>
  <c r="J729" i="25"/>
  <c r="I730" i="25"/>
  <c r="I731" i="25"/>
  <c r="J731" i="25"/>
  <c r="I732" i="25"/>
  <c r="J732" i="25"/>
  <c r="I733" i="25"/>
  <c r="J733" i="25"/>
  <c r="I734" i="25"/>
  <c r="I735" i="25"/>
  <c r="I736" i="25"/>
  <c r="I737" i="25"/>
  <c r="J737" i="25"/>
  <c r="I738" i="25"/>
  <c r="J738" i="25"/>
  <c r="I739" i="25"/>
  <c r="I740" i="25"/>
  <c r="J740" i="25"/>
  <c r="I741" i="25"/>
  <c r="J741" i="25"/>
  <c r="I742" i="25"/>
  <c r="J742" i="25"/>
  <c r="I743" i="25"/>
  <c r="I744" i="25"/>
  <c r="J744" i="25"/>
  <c r="I745" i="25"/>
  <c r="J745" i="25"/>
  <c r="I746" i="25"/>
  <c r="I747" i="25"/>
  <c r="J747" i="25"/>
  <c r="I748" i="25"/>
  <c r="J748" i="25"/>
  <c r="I749" i="25"/>
  <c r="J749" i="25"/>
  <c r="I750" i="25"/>
  <c r="J750" i="25"/>
  <c r="I751" i="25"/>
  <c r="I752" i="25"/>
  <c r="I753" i="25"/>
  <c r="J753" i="25"/>
  <c r="I754" i="25"/>
  <c r="J754" i="25"/>
  <c r="I755" i="25"/>
  <c r="I756" i="25"/>
  <c r="J756" i="25"/>
  <c r="I757" i="25"/>
  <c r="J757" i="25"/>
  <c r="I758" i="25"/>
  <c r="J758" i="25"/>
  <c r="I759" i="25"/>
  <c r="J759" i="25"/>
  <c r="I760" i="25"/>
  <c r="J760" i="25"/>
  <c r="I761" i="25"/>
  <c r="J761" i="25"/>
  <c r="I762" i="25"/>
  <c r="I763" i="25"/>
  <c r="J763" i="25"/>
  <c r="I764" i="25"/>
  <c r="J764" i="25"/>
  <c r="I765" i="25"/>
  <c r="I766" i="25"/>
  <c r="J766" i="25"/>
  <c r="I767" i="25"/>
  <c r="J767" i="25"/>
  <c r="I768" i="25"/>
</calcChain>
</file>

<file path=xl/sharedStrings.xml><?xml version="1.0" encoding="utf-8"?>
<sst xmlns="http://schemas.openxmlformats.org/spreadsheetml/2006/main" count="4028" uniqueCount="1317">
  <si>
    <t>600-319-3750</t>
  </si>
  <si>
    <t>Fuel Filter Element</t>
  </si>
  <si>
    <t>HD785-7</t>
  </si>
  <si>
    <t>Replace every 250 HM</t>
  </si>
  <si>
    <t>200-300 HM</t>
  </si>
  <si>
    <t>600-211-1340</t>
  </si>
  <si>
    <t>Engine Oil Filter</t>
  </si>
  <si>
    <t>600-185-6100</t>
  </si>
  <si>
    <t>Air Filter Primary</t>
  </si>
  <si>
    <t>Replace every 500 HM</t>
  </si>
  <si>
    <t>300-700 HM</t>
  </si>
  <si>
    <t>600-185-6110</t>
  </si>
  <si>
    <t>Air Filter Secondary</t>
  </si>
  <si>
    <t>Replace every 1000 HM</t>
  </si>
  <si>
    <t>800-1200 HM</t>
  </si>
  <si>
    <t>6217-11-3100</t>
  </si>
  <si>
    <t>Fuel Injector Assy</t>
  </si>
  <si>
    <t>Replace every 3000 HM</t>
  </si>
  <si>
    <t>2500-4000 HM</t>
  </si>
  <si>
    <t>600-421-6130</t>
  </si>
  <si>
    <t>Thermostat Valve</t>
  </si>
  <si>
    <t>Replace every 4000 HM</t>
  </si>
  <si>
    <t>3000-5000 HM</t>
  </si>
  <si>
    <t>Engine Oil SAE 15W40</t>
  </si>
  <si>
    <t>561-15-12340</t>
  </si>
  <si>
    <t>Brake Disc</t>
  </si>
  <si>
    <t>Replace based on wear</t>
  </si>
  <si>
    <t>5000-8000 HM</t>
  </si>
  <si>
    <t>07063-51142</t>
  </si>
  <si>
    <t>Transmission Oil Filter</t>
  </si>
  <si>
    <t>400-600 HM</t>
  </si>
  <si>
    <t>Final Drive Oil</t>
  </si>
  <si>
    <t>Hydraulic Oil</t>
  </si>
  <si>
    <t>Replace every 2000 HM</t>
  </si>
  <si>
    <t>1500-2500 HM</t>
  </si>
  <si>
    <t>Hydraulic Filter</t>
  </si>
  <si>
    <t>COOLANT-LLC</t>
  </si>
  <si>
    <t>Fan Belt</t>
  </si>
  <si>
    <t>2000-3000 HM</t>
  </si>
  <si>
    <t>Starter Motor</t>
  </si>
  <si>
    <t>Replace upon failure</t>
  </si>
  <si>
    <t>Alternator</t>
  </si>
  <si>
    <t>BATTERY-HD</t>
  </si>
  <si>
    <t>Battery Heavy Duty</t>
  </si>
  <si>
    <t>Replace every 2-3 years</t>
  </si>
  <si>
    <t>2000-4000 HM</t>
  </si>
  <si>
    <t>Turbocharger</t>
  </si>
  <si>
    <t>6000-10000 HM</t>
  </si>
  <si>
    <t>Water Pump</t>
  </si>
  <si>
    <t>Replace during maintenance</t>
  </si>
  <si>
    <t>4000-6000 HM</t>
  </si>
  <si>
    <t>Suspension Seal Kit</t>
  </si>
  <si>
    <t>Steering Filter</t>
  </si>
  <si>
    <t>Fuel Pump Assy</t>
  </si>
  <si>
    <t>Radiator Assy</t>
  </si>
  <si>
    <t>8000-12000 HM</t>
  </si>
  <si>
    <t>6000-9000 HM</t>
  </si>
  <si>
    <t>4000-7000 HM</t>
  </si>
  <si>
    <t>Replace during overhaul</t>
  </si>
  <si>
    <t>Replace upon wear</t>
  </si>
  <si>
    <t>Temperature Sensor</t>
  </si>
  <si>
    <t>Pressure Sensor</t>
  </si>
  <si>
    <t>Oil filter</t>
  </si>
  <si>
    <t>250 Jam</t>
  </si>
  <si>
    <t>Filter oli mesin</t>
  </si>
  <si>
    <t>Filter element</t>
  </si>
  <si>
    <t>Elemen filter oli</t>
  </si>
  <si>
    <t>W.55.322.201</t>
  </si>
  <si>
    <t>Fine fuel filter</t>
  </si>
  <si>
    <t>500 Jam</t>
  </si>
  <si>
    <t>Filter solar</t>
  </si>
  <si>
    <t>6W.24.059.302</t>
  </si>
  <si>
    <t>Filter element (fine fuel)</t>
  </si>
  <si>
    <t>Elemen filter solar</t>
  </si>
  <si>
    <t>Oil-water separator element</t>
  </si>
  <si>
    <t>Water separator</t>
  </si>
  <si>
    <t>ΦB725-1109510</t>
  </si>
  <si>
    <t>Air filter</t>
  </si>
  <si>
    <t>Filter udara utama</t>
  </si>
  <si>
    <t>740.30-1308046-201</t>
  </si>
  <si>
    <t>Fan spacer (belt terkait)</t>
  </si>
  <si>
    <t>Bagian sistem pendingin</t>
  </si>
  <si>
    <t>10PK 1705</t>
  </si>
  <si>
    <t>Poly V-belt</t>
  </si>
  <si>
    <t>1000 Jam</t>
  </si>
  <si>
    <t>Belt alternator/AC</t>
  </si>
  <si>
    <t>Poly V belt</t>
  </si>
  <si>
    <t>Belt alternator</t>
  </si>
  <si>
    <t>740.60-1005115-30</t>
  </si>
  <si>
    <t>Flywheel</t>
  </si>
  <si>
    <t>Insidentil</t>
  </si>
  <si>
    <t>Flywheel (overhaul)</t>
  </si>
  <si>
    <t>5460A-1301010</t>
  </si>
  <si>
    <t>Radiator (Cooler)</t>
  </si>
  <si>
    <t>Radiator utama</t>
  </si>
  <si>
    <t>6520-13110101</t>
  </si>
  <si>
    <t>Expansion tank</t>
  </si>
  <si>
    <t>Tangki ekspansi</t>
  </si>
  <si>
    <t>740.63-1307010-101</t>
  </si>
  <si>
    <t>Water pump</t>
  </si>
  <si>
    <t>Pompa air</t>
  </si>
  <si>
    <t>SP/1341/11</t>
  </si>
  <si>
    <t>Water pump gland</t>
  </si>
  <si>
    <t>Seal pompa air</t>
  </si>
  <si>
    <t>Clutch pressure plate with housing</t>
  </si>
  <si>
    <t>Plat penekan kopling</t>
  </si>
  <si>
    <t>Clutch driven plate</t>
  </si>
  <si>
    <t>Kampas kopling</t>
  </si>
  <si>
    <t>Clutch release coupling</t>
  </si>
  <si>
    <t>Bearing release kopling</t>
  </si>
  <si>
    <t>1341 002 1241</t>
  </si>
  <si>
    <t>Gearbox ZF16S1820TO</t>
  </si>
  <si>
    <t>Transmisi (overhaul)</t>
  </si>
  <si>
    <t>6520-3501105-50</t>
  </si>
  <si>
    <t>Brake shoe friction lining</t>
  </si>
  <si>
    <t>Kampas rem depan</t>
  </si>
  <si>
    <t>6520-3501095-51</t>
  </si>
  <si>
    <t>Brake shoe</t>
  </si>
  <si>
    <t>Sepatu rem</t>
  </si>
  <si>
    <t>6520-3502071</t>
  </si>
  <si>
    <t>Brake drum</t>
  </si>
  <si>
    <t>Tromol rem</t>
  </si>
  <si>
    <t>100-3522137</t>
  </si>
  <si>
    <t>Sealing ring (brake)</t>
  </si>
  <si>
    <t>O-ring rem</t>
  </si>
  <si>
    <t>25.3519311-30</t>
  </si>
  <si>
    <t>Brake chamber, type 30</t>
  </si>
  <si>
    <t>Kamar rem</t>
  </si>
  <si>
    <t>4W4166 / 4W4161</t>
  </si>
  <si>
    <t>Adjustment lever (brake)</t>
  </si>
  <si>
    <t>Adjuster otomatis rem</t>
  </si>
  <si>
    <t>6520-2912012</t>
  </si>
  <si>
    <t>Rear spring</t>
  </si>
  <si>
    <t>Per daun belakang</t>
  </si>
  <si>
    <t>6520-2902012-202</t>
  </si>
  <si>
    <t>Front spring</t>
  </si>
  <si>
    <t>Per daun depan</t>
  </si>
  <si>
    <t>Shock absorber (front)</t>
  </si>
  <si>
    <t>Shock absorber</t>
  </si>
  <si>
    <t>1631-2919012</t>
  </si>
  <si>
    <t>Torque rod</t>
  </si>
  <si>
    <t>Batang torsi</t>
  </si>
  <si>
    <t>Sealing ring</t>
  </si>
  <si>
    <t>Seal berbagai aplikasi</t>
  </si>
  <si>
    <t>5320-1303063</t>
  </si>
  <si>
    <t>Gasket</t>
  </si>
  <si>
    <t>Gasket radiator</t>
  </si>
  <si>
    <t>7406.1013288-02</t>
  </si>
  <si>
    <t>O-ring oil cooler</t>
  </si>
  <si>
    <t>6СТ-190АП</t>
  </si>
  <si>
    <t>Storage battery</t>
  </si>
  <si>
    <t>2000 Jam</t>
  </si>
  <si>
    <t>Baterai</t>
  </si>
  <si>
    <t>2126-3704005-20</t>
  </si>
  <si>
    <t>Instrument and starter switch</t>
  </si>
  <si>
    <t>Saklar kontak</t>
  </si>
  <si>
    <t>6602.3709-01</t>
  </si>
  <si>
    <t>Lower/upper beam/direction indicator switch</t>
  </si>
  <si>
    <t>Saklar lampu/sein</t>
  </si>
  <si>
    <t>1307.5215000-10</t>
  </si>
  <si>
    <t>Electric windscreen wipe</t>
  </si>
  <si>
    <t>Motor wiper</t>
  </si>
  <si>
    <t>21-297</t>
  </si>
  <si>
    <t>Electric windshield washer</t>
  </si>
  <si>
    <t>Pump washer</t>
  </si>
  <si>
    <t>OP-6(z) MIG</t>
  </si>
  <si>
    <t>Fire extinguisher</t>
  </si>
  <si>
    <t>Check berkala</t>
  </si>
  <si>
    <t>APAR</t>
  </si>
  <si>
    <t>540-1704138</t>
  </si>
  <si>
    <t>Filter</t>
  </si>
  <si>
    <t>Filter (oli/solar)</t>
  </si>
  <si>
    <t>75131-1109010</t>
  </si>
  <si>
    <t>Air filter as set</t>
  </si>
  <si>
    <t>Filter udara</t>
  </si>
  <si>
    <t>75131-1116010</t>
  </si>
  <si>
    <t>Fuel cock with filter</t>
  </si>
  <si>
    <t>Filter bahan bakar kasar</t>
  </si>
  <si>
    <t>75306-1105010</t>
  </si>
  <si>
    <t>Coarse filter</t>
  </si>
  <si>
    <t>Water separator kasar</t>
  </si>
  <si>
    <t>540-1704147-10</t>
  </si>
  <si>
    <t>Filtering element</t>
  </si>
  <si>
    <t>Elemen filter (jumlah besar)</t>
  </si>
  <si>
    <t>75131-1108160-10</t>
  </si>
  <si>
    <t>Bracket (sistem bahan bakar)</t>
  </si>
  <si>
    <t>Braket</t>
  </si>
  <si>
    <t>DSF-65</t>
  </si>
  <si>
    <t>Sensor of air filters clogging</t>
  </si>
  <si>
    <t>Sensor clogging filter udara</t>
  </si>
  <si>
    <t>75170-1301010</t>
  </si>
  <si>
    <t>Radiator</t>
  </si>
  <si>
    <t>75135-1309010</t>
  </si>
  <si>
    <t>Fan housing</t>
  </si>
  <si>
    <t>Rumah kipas</t>
  </si>
  <si>
    <t>549A-1305012</t>
  </si>
  <si>
    <t>Drain cock body</t>
  </si>
  <si>
    <t>Kran pembuangan radiator</t>
  </si>
  <si>
    <t>549A-1305044</t>
  </si>
  <si>
    <t>Ring (drain cock)</t>
  </si>
  <si>
    <t>Seal kran</t>
  </si>
  <si>
    <t>75132-2405010-10</t>
  </si>
  <si>
    <t>Reducer of electromotor-wheel</t>
  </si>
  <si>
    <t>Reduktor motor listrik</t>
  </si>
  <si>
    <t>75132-2405250-03</t>
  </si>
  <si>
    <t>First row of the reducer</t>
  </si>
  <si>
    <t>Gear reduktor</t>
  </si>
  <si>
    <t>7519-2405430</t>
  </si>
  <si>
    <t>Satellite of the second row</t>
  </si>
  <si>
    <t>Gear planet</t>
  </si>
  <si>
    <t>75132-2405206</t>
  </si>
  <si>
    <t>Casing of motor-wheel reducer</t>
  </si>
  <si>
    <t>Casing reduktor</t>
  </si>
  <si>
    <t>75132-2405010-07</t>
  </si>
  <si>
    <t>Haul electromotor EDP-600</t>
  </si>
  <si>
    <t>Motor traksi</t>
  </si>
  <si>
    <t>75131-3577060-01</t>
  </si>
  <si>
    <t>Lining (brake)</t>
  </si>
  <si>
    <t>Kampas rem</t>
  </si>
  <si>
    <t>75132-3507280</t>
  </si>
  <si>
    <t>Piston (brake)</t>
  </si>
  <si>
    <t>Piston rem</t>
  </si>
  <si>
    <t>75132-3577040-10</t>
  </si>
  <si>
    <t>Cylinder (brake)</t>
  </si>
  <si>
    <t>Silinder rem</t>
  </si>
  <si>
    <t>7820-3501128</t>
  </si>
  <si>
    <t>Protective coupling</t>
  </si>
  <si>
    <t>Kopling pelindung brake</t>
  </si>
  <si>
    <t>7513-3577092-10</t>
  </si>
  <si>
    <t>Pelindung brake</t>
  </si>
  <si>
    <t>549A-2907355</t>
  </si>
  <si>
    <t>Safety valve (brake system)</t>
  </si>
  <si>
    <t>Katup pengaman rem</t>
  </si>
  <si>
    <t>75131-2907020-11</t>
  </si>
  <si>
    <t>Pneumohydraulic cylinder (front)</t>
  </si>
  <si>
    <t>Silinder suspensi depan</t>
  </si>
  <si>
    <t>75131-2917020-10</t>
  </si>
  <si>
    <t>Pneumohydraulic cylinder (rear)</t>
  </si>
  <si>
    <t>Silinder suspensi belakang</t>
  </si>
  <si>
    <t>7519-2907500</t>
  </si>
  <si>
    <t>Spherical support</t>
  </si>
  <si>
    <t>Support bola suspensi</t>
  </si>
  <si>
    <t>75131-2907440</t>
  </si>
  <si>
    <t>Lower bracket of suspension cylinder</t>
  </si>
  <si>
    <t>Braket bawah silinder</t>
  </si>
  <si>
    <t>2 ShSL-90</t>
  </si>
  <si>
    <t>Bearing</t>
  </si>
  <si>
    <t>Bearing suspensi</t>
  </si>
  <si>
    <t>75131-2907056</t>
  </si>
  <si>
    <t>Rod (suspension cylinder)</t>
  </si>
  <si>
    <t>Batang silinder suspensi</t>
  </si>
  <si>
    <t>038-046-46-2-3</t>
  </si>
  <si>
    <t>Ring</t>
  </si>
  <si>
    <t>O-ring</t>
  </si>
  <si>
    <t>020-025-30-2-3</t>
  </si>
  <si>
    <t>549A-1018442</t>
  </si>
  <si>
    <t>Gasket berbagai</t>
  </si>
  <si>
    <t>540-2917390</t>
  </si>
  <si>
    <t>Gasket rem</t>
  </si>
  <si>
    <t>540-2917392-01</t>
  </si>
  <si>
    <t>Cover (with gasket)</t>
  </si>
  <si>
    <t>Tutup dengan gasket</t>
  </si>
  <si>
    <t>6ST-190AP</t>
  </si>
  <si>
    <t>Unattended batteries</t>
  </si>
  <si>
    <t>6TH.230253</t>
  </si>
  <si>
    <t>Relay PT253</t>
  </si>
  <si>
    <t>Relay</t>
  </si>
  <si>
    <t>75135-2112010-31</t>
  </si>
  <si>
    <t>Cabinet with start-up control equipment</t>
  </si>
  <si>
    <t>Kabinet kontrol</t>
  </si>
  <si>
    <t>VD 3AF 003399-061</t>
  </si>
  <si>
    <t>Sound signal</t>
  </si>
  <si>
    <t>Klakson</t>
  </si>
  <si>
    <t>75603-3721010</t>
  </si>
  <si>
    <t>Sound signal (reverse)</t>
  </si>
  <si>
    <t>Alarm mundur</t>
  </si>
  <si>
    <t>75131-8604030</t>
  </si>
  <si>
    <t>Suction branch-pipe with magnet</t>
  </si>
  <si>
    <t>Pipa hisap dengan magnet</t>
  </si>
  <si>
    <t>75131-8609400</t>
  </si>
  <si>
    <t>Magnetic separator</t>
  </si>
  <si>
    <t>Pemisah magnetik oli</t>
  </si>
  <si>
    <t>33.00-51 FT-116AM2</t>
  </si>
  <si>
    <t>Pneumatic tubeless tire</t>
  </si>
  <si>
    <t>Ban</t>
  </si>
  <si>
    <t>75131-3917350</t>
  </si>
  <si>
    <t>Hose for tires inflation</t>
  </si>
  <si>
    <t>Selang isi ban</t>
  </si>
  <si>
    <t>SKP 2.00.16.000</t>
  </si>
  <si>
    <t>Cylinder (fire fighting system)</t>
  </si>
  <si>
    <t>Tabung pemadam</t>
  </si>
  <si>
    <t>Belt</t>
  </si>
  <si>
    <t>Brake</t>
  </si>
  <si>
    <t>Battery</t>
  </si>
  <si>
    <t>Element, Engine Oil Filter</t>
  </si>
  <si>
    <t>Elemen filter oli mesin</t>
  </si>
  <si>
    <t>160102130003A089</t>
  </si>
  <si>
    <t>Oil Filter (Assembly)</t>
  </si>
  <si>
    <t>Filter oli mesin (assembly)</t>
  </si>
  <si>
    <t>Fuel Fine Filter</t>
  </si>
  <si>
    <t>Filter bahan bakar halus</t>
  </si>
  <si>
    <t>Fuel Fine Filter Core</t>
  </si>
  <si>
    <t>Elemen filter bahan bakar halus</t>
  </si>
  <si>
    <t>160102130003A110</t>
  </si>
  <si>
    <t>Fuel Coarse Filter</t>
  </si>
  <si>
    <t>Fuel Coarse Filter Core</t>
  </si>
  <si>
    <t>Elemen filter bahan bakar kasar</t>
  </si>
  <si>
    <t>160603010026A</t>
  </si>
  <si>
    <t>Oil-water Separator</t>
  </si>
  <si>
    <t>Separator air-bahan bakar (assembly)</t>
  </si>
  <si>
    <t>160603020024A</t>
  </si>
  <si>
    <t>Oil-water Separator Filter Element</t>
  </si>
  <si>
    <t>Elemen separator air</t>
  </si>
  <si>
    <t>160602010100A</t>
  </si>
  <si>
    <t>Air Filter (Assembly)</t>
  </si>
  <si>
    <t>Filter udara utama (assembly)</t>
  </si>
  <si>
    <t>160602020020A</t>
  </si>
  <si>
    <t>Air Filter Element</t>
  </si>
  <si>
    <t>Elemen filter udara utama</t>
  </si>
  <si>
    <t>160602030016A</t>
  </si>
  <si>
    <t>Safety Filter for Air Filter</t>
  </si>
  <si>
    <t>Filter udara sekunder / safety</t>
  </si>
  <si>
    <t>Belt penggerak (poly V)</t>
  </si>
  <si>
    <t>160399000008A</t>
  </si>
  <si>
    <t>Poly V Belt</t>
  </si>
  <si>
    <t>Fan Belt (bila ada)</t>
  </si>
  <si>
    <t>Belt kipas (jika diperlukan)</t>
  </si>
  <si>
    <t>160399000009A</t>
  </si>
  <si>
    <t>Automatic Tensioner</t>
  </si>
  <si>
    <t>Penegang belt otomatis</t>
  </si>
  <si>
    <t>169900000152A</t>
  </si>
  <si>
    <t>Tensioner, Automatic</t>
  </si>
  <si>
    <t>160399000007A</t>
  </si>
  <si>
    <t>Idle Wheel</t>
  </si>
  <si>
    <t>Roda stasioner belt</t>
  </si>
  <si>
    <t>160899000348A</t>
  </si>
  <si>
    <t>Motor, Starter</t>
  </si>
  <si>
    <t>Motor starter</t>
  </si>
  <si>
    <t>160802010001A</t>
  </si>
  <si>
    <t>Fan</t>
  </si>
  <si>
    <t>Kipas radiator</t>
  </si>
  <si>
    <t>160899000035A</t>
  </si>
  <si>
    <t>Expansion Tank</t>
  </si>
  <si>
    <t>Tangki ekspansi pendingin</t>
  </si>
  <si>
    <t>160801020047A</t>
  </si>
  <si>
    <t>160201000004A</t>
  </si>
  <si>
    <t>Pompa air pendingin</t>
  </si>
  <si>
    <t>160202000001A</t>
  </si>
  <si>
    <t>Thermostat</t>
  </si>
  <si>
    <t>Termostat</t>
  </si>
  <si>
    <t>Hydraulic Filter Element</t>
  </si>
  <si>
    <t>Elemen filter hidrolik</t>
  </si>
  <si>
    <t>151501000022A</t>
  </si>
  <si>
    <t>Pipeline Filter</t>
  </si>
  <si>
    <t>Filter pipa hidrolik</t>
  </si>
  <si>
    <t>Filter, Oil Return</t>
  </si>
  <si>
    <t>Filter oli balik hidrolik</t>
  </si>
  <si>
    <t>130202000093A219</t>
  </si>
  <si>
    <t>Filtergp-Oil-D (Transmission filter)</t>
  </si>
  <si>
    <t>Filter oli transmisi</t>
  </si>
  <si>
    <t>130202000093A268</t>
  </si>
  <si>
    <t>oil filter (Transmission)</t>
  </si>
  <si>
    <t>152599000112A</t>
  </si>
  <si>
    <t>Air Handing Unit</t>
  </si>
  <si>
    <t>Unit pengering udara (air dryer)</t>
  </si>
  <si>
    <t>Brake Valve Muffler</t>
  </si>
  <si>
    <t>Silencer katup rem</t>
  </si>
  <si>
    <t>Piston Type Accumulator</t>
  </si>
  <si>
    <t>Relay Valve</t>
  </si>
  <si>
    <t>Katup relay rem</t>
  </si>
  <si>
    <t>Limit Valve Assembly</t>
  </si>
  <si>
    <t>Katup pembatas</t>
  </si>
  <si>
    <t>152599000195A</t>
  </si>
  <si>
    <t>Air Reservoir</t>
  </si>
  <si>
    <t>Tangki udara rem</t>
  </si>
  <si>
    <t>Front Suspension Cylinder</t>
  </si>
  <si>
    <t>131601000001A</t>
  </si>
  <si>
    <t>Shock Absorber (Cab)</t>
  </si>
  <si>
    <t>Peredam kejut kabin</t>
  </si>
  <si>
    <t>131499000001A</t>
  </si>
  <si>
    <t>Thrust Rod (Front Suspension)</t>
  </si>
  <si>
    <t>Push rod suspensi depan</t>
  </si>
  <si>
    <t>250901040643A</t>
  </si>
  <si>
    <t>Steering Cylinder</t>
  </si>
  <si>
    <t>Silinder kemudi</t>
  </si>
  <si>
    <t>131402010188A034</t>
  </si>
  <si>
    <t>Brake Drum</t>
  </si>
  <si>
    <t>Tromol rem depan</t>
  </si>
  <si>
    <t>B230101002071</t>
  </si>
  <si>
    <t>O-ring berbagai aplikasi</t>
  </si>
  <si>
    <t>O-ring konektor tekanan tinggi</t>
  </si>
  <si>
    <t>168805000016A</t>
  </si>
  <si>
    <t>O-ring kompresor udara</t>
  </si>
  <si>
    <t>Baterai asam</t>
  </si>
  <si>
    <t>Power Switch</t>
  </si>
  <si>
    <t>Saklar utama baterai</t>
  </si>
  <si>
    <t>Ignition Lock Assembly</t>
  </si>
  <si>
    <t>Kunci kontak</t>
  </si>
  <si>
    <t>140999020009A</t>
  </si>
  <si>
    <t>GPS Terminal</t>
  </si>
  <si>
    <t>Terminal GPS</t>
  </si>
  <si>
    <t>Evaporator (AC)</t>
  </si>
  <si>
    <t>Evaporator AC kabin</t>
  </si>
  <si>
    <t>Condenser</t>
  </si>
  <si>
    <t>Kondensor AC</t>
  </si>
  <si>
    <t>141502000079A</t>
  </si>
  <si>
    <t>Compressor</t>
  </si>
  <si>
    <t>Kompresor AC</t>
  </si>
  <si>
    <t>Gas Spring (Engine Hood)</t>
  </si>
  <si>
    <t>Gas spring kap mesin</t>
  </si>
  <si>
    <t>160699000015A</t>
  </si>
  <si>
    <t>Air Filter Cover</t>
  </si>
  <si>
    <t>Tutup filter udara</t>
  </si>
  <si>
    <t>Filter, Engine Oil</t>
  </si>
  <si>
    <t>Fuel System Protector</t>
  </si>
  <si>
    <t>160602010071A</t>
  </si>
  <si>
    <t>Air Filter</t>
  </si>
  <si>
    <t>160801020108A</t>
  </si>
  <si>
    <t>160102120008A076</t>
  </si>
  <si>
    <t>Air Storage Tank</t>
  </si>
  <si>
    <t>152599000196A</t>
  </si>
  <si>
    <t>Tangki udara rem (sekunder)</t>
  </si>
  <si>
    <t>250901040645A</t>
  </si>
  <si>
    <t>150901040970A</t>
  </si>
  <si>
    <t>Rear Suspension Cylinder</t>
  </si>
  <si>
    <t>Damper (Cab Shock)</t>
  </si>
  <si>
    <t>131601000002A</t>
  </si>
  <si>
    <t>Peredam kejut kabin belakang</t>
  </si>
  <si>
    <t>131402010001A030</t>
  </si>
  <si>
    <t>Seal Ring</t>
  </si>
  <si>
    <t>Ring seal</t>
  </si>
  <si>
    <t>Seal Washer</t>
  </si>
  <si>
    <t>Washer seal</t>
  </si>
  <si>
    <t>141501000202A001</t>
  </si>
  <si>
    <t>160899000403A</t>
  </si>
  <si>
    <t>Pressure valve (Exp Tank)</t>
  </si>
  <si>
    <t>Katup tekanan tangki ekspansi</t>
  </si>
  <si>
    <t>Engine Oil Filter Element</t>
  </si>
  <si>
    <t>160602010126A</t>
  </si>
  <si>
    <t>160801020125A</t>
  </si>
  <si>
    <t>130202000126A210</t>
  </si>
  <si>
    <t>Oil Filter (Transmisi)</t>
  </si>
  <si>
    <t>Filter oli dalam transmisi</t>
  </si>
  <si>
    <t>130202000126A122</t>
  </si>
  <si>
    <t>Suction Filter (Transmisi)</t>
  </si>
  <si>
    <t>Filter hisap transmisi</t>
  </si>
  <si>
    <t>Pressure Oil Filter</t>
  </si>
  <si>
    <t>Filter oli tekanan tinggi hidrolik</t>
  </si>
  <si>
    <t>152599000112A001</t>
  </si>
  <si>
    <t>Air Dryer</t>
  </si>
  <si>
    <t>Elemen pengering udara</t>
  </si>
  <si>
    <t>Air Cleaner</t>
  </si>
  <si>
    <t>Breather tangki hidrolik</t>
  </si>
  <si>
    <t>A210609000033</t>
  </si>
  <si>
    <t>O-ring tangki hidrolik (230×7)</t>
  </si>
  <si>
    <t>O-ring kecil tangki hidrolik</t>
  </si>
  <si>
    <t>Akumulator piston (brake/steering)</t>
  </si>
  <si>
    <t>152599000197A</t>
  </si>
  <si>
    <t>Tangki udara tambahan rem</t>
  </si>
  <si>
    <t>150901040969A</t>
  </si>
  <si>
    <t>Silinder suspensi depan (SKT100)</t>
  </si>
  <si>
    <t>B230101002072</t>
  </si>
  <si>
    <t>O-ring (69.44×3.53)</t>
  </si>
  <si>
    <t>A210609000171</t>
  </si>
  <si>
    <t>O-ring (47.5×3.55) filter hidrolik</t>
  </si>
  <si>
    <t>Seal washer berbagai aplikasi</t>
  </si>
  <si>
    <t>152605000377A</t>
  </si>
  <si>
    <t>Centralized Lubrication System</t>
  </si>
  <si>
    <t>Sistem pelumasan terpusat</t>
  </si>
  <si>
    <t>B220401001440</t>
  </si>
  <si>
    <t>Safety Valve (bila ada)</t>
  </si>
  <si>
    <t>Katup pengaman pelumasan (cek manual)</t>
  </si>
  <si>
    <t>Front Window Wiper ASSY</t>
  </si>
  <si>
    <t>Wiper depan (bila tercantum)</t>
  </si>
  <si>
    <t>A559900000099</t>
  </si>
  <si>
    <t>Fire Extinguisher Support</t>
  </si>
  <si>
    <t>Check Berkala</t>
  </si>
  <si>
    <t>Support APAR (jika tersedia)</t>
  </si>
  <si>
    <t>Engine</t>
  </si>
  <si>
    <t>B222100000595</t>
  </si>
  <si>
    <t>A222100000615</t>
  </si>
  <si>
    <t>Elemen filter bahan bakar</t>
  </si>
  <si>
    <t>Main Air Filter Element</t>
  </si>
  <si>
    <t>Water Filter</t>
  </si>
  <si>
    <t>Filter air pendingin</t>
  </si>
  <si>
    <t>B229900005676</t>
  </si>
  <si>
    <t>Separator air-bahan bakar</t>
  </si>
  <si>
    <t>Water Pump ASSY</t>
  </si>
  <si>
    <t>Alternator Belt</t>
  </si>
  <si>
    <t>V-belt</t>
  </si>
  <si>
    <t>Transmission Oil Filter and Pipeline</t>
  </si>
  <si>
    <t>Hose ASSY</t>
  </si>
  <si>
    <t>Selang filter transmisi</t>
  </si>
  <si>
    <t>Oil suction filter element</t>
  </si>
  <si>
    <t>Elemen filter hisap hidrolik</t>
  </si>
  <si>
    <t>Oil Suction Filter</t>
  </si>
  <si>
    <t>Filter hisap hidrolik</t>
  </si>
  <si>
    <t>Oil Return Filter Element</t>
  </si>
  <si>
    <t>Elemen filter return hidrolik</t>
  </si>
  <si>
    <t>High-pressure Filter</t>
  </si>
  <si>
    <t>Filter tekanan tinggi steering</t>
  </si>
  <si>
    <t>High-pressure Oil Filter</t>
  </si>
  <si>
    <t>Filter oli tekanan tinggi (brake cooling)</t>
  </si>
  <si>
    <t>Filter brake cooling</t>
  </si>
  <si>
    <t>Water-cooling Radiator</t>
  </si>
  <si>
    <t>Radiator pendingin oli</t>
  </si>
  <si>
    <t>Breather valve</t>
  </si>
  <si>
    <t>Katup pernapasan tangki</t>
  </si>
  <si>
    <t>A210609000384</t>
  </si>
  <si>
    <t>O-ring cleaning cover</t>
  </si>
  <si>
    <t>A210609000376</t>
  </si>
  <si>
    <t>A210609000209</t>
  </si>
  <si>
    <t>A210609000202</t>
  </si>
  <si>
    <t>Piston Accumulator</t>
  </si>
  <si>
    <t>Akumulator piston steering</t>
  </si>
  <si>
    <t>Accumulator Repair Kit</t>
  </si>
  <si>
    <t>Kit perbaikan akumulator</t>
  </si>
  <si>
    <t>B230101002024</t>
  </si>
  <si>
    <t>Floating Oil Seal</t>
  </si>
  <si>
    <t>Floating oil seal (brake)</t>
  </si>
  <si>
    <t>Floating oil seal (rear axle)</t>
  </si>
  <si>
    <t>Brake Valve Group</t>
  </si>
  <si>
    <t>Grup katup rem</t>
  </si>
  <si>
    <t>pedal valve</t>
  </si>
  <si>
    <t>Katup pedal rem</t>
  </si>
  <si>
    <t>150901020131A</t>
  </si>
  <si>
    <t>Suspension oil cylinder</t>
  </si>
  <si>
    <t>Half Shaft</t>
  </si>
  <si>
    <t>Half shaft (poros samping)</t>
  </si>
  <si>
    <t>Rolling Bearing</t>
  </si>
  <si>
    <t>Bearing gardan</t>
  </si>
  <si>
    <t>B221500000557</t>
  </si>
  <si>
    <t>B221500000639</t>
  </si>
  <si>
    <t>B221500000637</t>
  </si>
  <si>
    <t>LA Oil Seal</t>
  </si>
  <si>
    <t>Oil seal gardan</t>
  </si>
  <si>
    <t>Nut</t>
  </si>
  <si>
    <t>Mur pengunci bearing</t>
  </si>
  <si>
    <t>B230101002070</t>
  </si>
  <si>
    <t>A230101000628</t>
  </si>
  <si>
    <t>O-ring brake cooling</t>
  </si>
  <si>
    <t>Sealing Pad</t>
  </si>
  <si>
    <t>Sealing pad</t>
  </si>
  <si>
    <t>Sealing Gasket</t>
  </si>
  <si>
    <t>Outlet Asbestos Pad</t>
  </si>
  <si>
    <t>Paking asbes outlet</t>
  </si>
  <si>
    <t>A230101000655</t>
  </si>
  <si>
    <t>D Oil Seal</t>
  </si>
  <si>
    <t>Oil seal rem</t>
  </si>
  <si>
    <t>A230101000654</t>
  </si>
  <si>
    <t>A242200000057</t>
  </si>
  <si>
    <t>Acid Storage Battery</t>
  </si>
  <si>
    <t>Saklar utama</t>
  </si>
  <si>
    <t>Pressure Switch</t>
  </si>
  <si>
    <t>Saklar tekanan</t>
  </si>
  <si>
    <t>Sensor tekanan</t>
  </si>
  <si>
    <t>Sensor suhu</t>
  </si>
  <si>
    <t>Lubricating Pump</t>
  </si>
  <si>
    <t>Pompa pelumasan</t>
  </si>
  <si>
    <t>Safety Valve</t>
  </si>
  <si>
    <t>Distributor</t>
  </si>
  <si>
    <t>Distributor pelumasan</t>
  </si>
  <si>
    <t>Brake assy depan</t>
  </si>
  <si>
    <t>Cakram rem depan</t>
  </si>
  <si>
    <t>Lining Component</t>
  </si>
  <si>
    <t>Seal Kit</t>
  </si>
  <si>
    <t>Seal kit brake</t>
  </si>
  <si>
    <t>Alarm System of Tail Lamp Light</t>
  </si>
  <si>
    <t>Lampu belakang</t>
  </si>
  <si>
    <t>Deluxe Safety Hammer</t>
  </si>
  <si>
    <t>Palu keselamatan</t>
  </si>
  <si>
    <t>Transmission</t>
  </si>
  <si>
    <t>160101120038A</t>
  </si>
  <si>
    <t>Engine assy (overhaul)</t>
  </si>
  <si>
    <t>Clutch Booster</t>
  </si>
  <si>
    <t>Booster kopling</t>
  </si>
  <si>
    <t>Clutch Release Bearing</t>
  </si>
  <si>
    <t>Clutch Driven Disc Assembly</t>
  </si>
  <si>
    <t>Clutch Pressure Disc Assembly</t>
  </si>
  <si>
    <t>160602010079A</t>
  </si>
  <si>
    <t>160602010079A001</t>
  </si>
  <si>
    <t>Filter Assembly</t>
  </si>
  <si>
    <t>Elemen filter udara</t>
  </si>
  <si>
    <t>160699000140A</t>
  </si>
  <si>
    <t>Dust Discharge Valve</t>
  </si>
  <si>
    <t>Katup pembuang debu filter udara</t>
  </si>
  <si>
    <t>Liquid Level Sensor</t>
  </si>
  <si>
    <t>Sensor level bahan bakar</t>
  </si>
  <si>
    <t>Tank Assembly</t>
  </si>
  <si>
    <t>Tangki bahan bakar</t>
  </si>
  <si>
    <t>Oil Tank Cover</t>
  </si>
  <si>
    <t>Tutup tangki bahan bakar</t>
  </si>
  <si>
    <t>Strainer</t>
  </si>
  <si>
    <t>Saringan pengisian bahan bakar</t>
  </si>
  <si>
    <t>920050900006A</t>
  </si>
  <si>
    <t>Cooling Module</t>
  </si>
  <si>
    <t>Radiator + intercooler</t>
  </si>
  <si>
    <t>160801990032A</t>
  </si>
  <si>
    <t>Fly Net</t>
  </si>
  <si>
    <t>250 Jam (bersihkan)</t>
  </si>
  <si>
    <t>Kawat kasa radiator</t>
  </si>
  <si>
    <t>A229900005647</t>
  </si>
  <si>
    <t>Plastic Auxiliary Water Tank Assembly</t>
  </si>
  <si>
    <t>Intercooler Hose</t>
  </si>
  <si>
    <t>Selang intercooler</t>
  </si>
  <si>
    <t>A820606030928</t>
  </si>
  <si>
    <t>A820606010981</t>
  </si>
  <si>
    <t>Air Removing Pipe of Radiator</t>
  </si>
  <si>
    <t>Selang pembuangan udara radiator</t>
  </si>
  <si>
    <t>130201000131A</t>
  </si>
  <si>
    <t>Transmisi assy</t>
  </si>
  <si>
    <t>Bearing transmisi</t>
  </si>
  <si>
    <t>Magnet</t>
  </si>
  <si>
    <t>1000 Jam (bersihkan)</t>
  </si>
  <si>
    <t>Magnet sump transmisi</t>
  </si>
  <si>
    <t>Bolt, Hexagon Head</t>
  </si>
  <si>
    <t>Baut penahan kopling</t>
  </si>
  <si>
    <t>131402010050A015</t>
  </si>
  <si>
    <t>131402010260A011</t>
  </si>
  <si>
    <t>upper brake lining</t>
  </si>
  <si>
    <t>Kampas rem atas</t>
  </si>
  <si>
    <t>131488000229A</t>
  </si>
  <si>
    <t>Lower brake friction plate</t>
  </si>
  <si>
    <t>Kampas rem bawah</t>
  </si>
  <si>
    <t>131402010260A010</t>
  </si>
  <si>
    <t>131402010260A013</t>
  </si>
  <si>
    <t>Return spring</t>
  </si>
  <si>
    <t>Pegas balik rem</t>
  </si>
  <si>
    <t>Bolt</t>
  </si>
  <si>
    <t>Baut tromol rem</t>
  </si>
  <si>
    <t>Pressure Measuring Connector</t>
  </si>
  <si>
    <t>Konektor tekanan rem</t>
  </si>
  <si>
    <t>131402010260A</t>
  </si>
  <si>
    <t>front axle</t>
  </si>
  <si>
    <t>Gandar depan</t>
  </si>
  <si>
    <t>131699000039A</t>
  </si>
  <si>
    <t>Front Steel Plate Spring Assembly</t>
  </si>
  <si>
    <t>131699000040A</t>
  </si>
  <si>
    <t>Rear steel plate spring</t>
  </si>
  <si>
    <t>131501000005A</t>
  </si>
  <si>
    <t>Balance Shaft Assembly</t>
  </si>
  <si>
    <t>Poros keseimbangan</t>
  </si>
  <si>
    <t>Limit Block</t>
  </si>
  <si>
    <t>Bumper suspensi</t>
  </si>
  <si>
    <t>131699000039A012</t>
  </si>
  <si>
    <t>Bush</t>
  </si>
  <si>
    <t>Bushing per daun</t>
  </si>
  <si>
    <t>139999000895A002</t>
  </si>
  <si>
    <t>Rubber Core Combination Of Thrust Rod</t>
  </si>
  <si>
    <t>Karet batang dorong</t>
  </si>
  <si>
    <t>Mur center bolt per</t>
  </si>
  <si>
    <t>150105010017B</t>
  </si>
  <si>
    <t>pump of steering</t>
  </si>
  <si>
    <t>Pompa power steering</t>
  </si>
  <si>
    <t>Power Steering Gear</t>
  </si>
  <si>
    <t>Gear power steering</t>
  </si>
  <si>
    <t>Power steering oil tank assem</t>
  </si>
  <si>
    <t>Tangki oli power steering</t>
  </si>
  <si>
    <t>A222100000393</t>
  </si>
  <si>
    <t>Filter Core</t>
  </si>
  <si>
    <t>Elemen filter power steering</t>
  </si>
  <si>
    <t>Clamp Sleeve</t>
  </si>
  <si>
    <t>Selang power steering</t>
  </si>
  <si>
    <t>Acid Accumulator</t>
  </si>
  <si>
    <t>142507000007A</t>
  </si>
  <si>
    <t>Power Supply Master Switch</t>
  </si>
  <si>
    <t>Day Line Lamp Relay</t>
  </si>
  <si>
    <t>Relay lampu</t>
  </si>
  <si>
    <t>Fusible Cutout</t>
  </si>
  <si>
    <t>Fusible link</t>
  </si>
  <si>
    <t>A240500000097</t>
  </si>
  <si>
    <t>Electric Horn Assembly</t>
  </si>
  <si>
    <t>24V Cigarette Lighter</t>
  </si>
  <si>
    <t>Pemantik rokok (aksesoris)</t>
  </si>
  <si>
    <t>Turnover Cylinder</t>
  </si>
  <si>
    <t>Silinder tipping kabin</t>
  </si>
  <si>
    <t>Hydraulic Lock</t>
  </si>
  <si>
    <t>Kunci hidrolik kabin</t>
  </si>
  <si>
    <t>Opening Plunger Pump</t>
  </si>
  <si>
    <t>Pompa plunger buka kabin</t>
  </si>
  <si>
    <t>151099000093A</t>
  </si>
  <si>
    <t>Single Elbow Hose Assembly</t>
  </si>
  <si>
    <t>500 Jam / bocor</t>
  </si>
  <si>
    <t>Selang hidrolik tipping</t>
  </si>
  <si>
    <t>151099000105A</t>
  </si>
  <si>
    <t>Hydraulic Lock Connection Hose</t>
  </si>
  <si>
    <t>Selang kunci hidrolik</t>
  </si>
  <si>
    <t>Two Position and Three Way Electro Pneum</t>
  </si>
  <si>
    <t>Katup pneumatik</t>
  </si>
  <si>
    <t>131402010050A009</t>
  </si>
  <si>
    <t>inner wheel hub oil seal assembly</t>
  </si>
  <si>
    <t>Oil seal hub roda depan</t>
  </si>
  <si>
    <t>131402010050A008</t>
  </si>
  <si>
    <t>Oil Sealing Ring Seat Ring</t>
  </si>
  <si>
    <t>Ring dudukan seal oli</t>
  </si>
  <si>
    <t>131402010050A017</t>
  </si>
  <si>
    <t>O Seal Ring - Oil Seal Seat Ring</t>
  </si>
  <si>
    <t>O-ring seal</t>
  </si>
  <si>
    <t>131488000235A</t>
  </si>
  <si>
    <t>O Seal Ring - Camshaft</t>
  </si>
  <si>
    <t>O-ring camshaft rem</t>
  </si>
  <si>
    <t>131402010260A007</t>
  </si>
  <si>
    <t>Seal plug</t>
  </si>
  <si>
    <t>Plug seal</t>
  </si>
  <si>
    <t>Sealing Elastic Gasket</t>
  </si>
  <si>
    <t>Gasket elastis rem</t>
  </si>
  <si>
    <t>Fresh Air Filter Screen</t>
  </si>
  <si>
    <t>Saringan kabin (AC)</t>
  </si>
  <si>
    <t>Fresh Air Filter</t>
  </si>
  <si>
    <t>Filter kabin (AC)</t>
  </si>
  <si>
    <t>Desiccant</t>
  </si>
  <si>
    <t>Pengering AC</t>
  </si>
  <si>
    <t>Scrubber assembly</t>
  </si>
  <si>
    <t>Motor washer kaca</t>
  </si>
  <si>
    <t>Wiper assembly</t>
  </si>
  <si>
    <t>Wiper motor + lengan</t>
  </si>
  <si>
    <t>Wiper Brush ASSY</t>
  </si>
  <si>
    <t>6 bulan</t>
  </si>
  <si>
    <t>Rubber wiper kaca</t>
  </si>
  <si>
    <t>Main Wiper Arm Assembly</t>
  </si>
  <si>
    <t>Lengan wiper utama</t>
  </si>
  <si>
    <t>Auxiliary Wiper Arm Assembly</t>
  </si>
  <si>
    <t>Lengan wiper tambahan</t>
  </si>
  <si>
    <t>Fire Extinguisher</t>
  </si>
  <si>
    <t>Assembly, fire extinguisher</t>
  </si>
  <si>
    <t>Braket APAR + APAR</t>
  </si>
  <si>
    <t>Oil Intake Pipe</t>
  </si>
  <si>
    <t>Pipa hisap bahan bakar</t>
  </si>
  <si>
    <t>Oil Outlet Tube of Oil Water Separator</t>
  </si>
  <si>
    <t>Pipa outlet water separator</t>
  </si>
  <si>
    <t>Return Tube</t>
  </si>
  <si>
    <t>Pipa return bahan bakar</t>
  </si>
  <si>
    <t>160101100046A</t>
  </si>
  <si>
    <t>Piston Ring Assembly</t>
  </si>
  <si>
    <t>Ring piston</t>
  </si>
  <si>
    <t>Piston</t>
  </si>
  <si>
    <t>Pin, Piston</t>
  </si>
  <si>
    <t>Piston pin</t>
  </si>
  <si>
    <t>Connecting Rod Upper Shell</t>
  </si>
  <si>
    <t>Bearing log seher (atas)</t>
  </si>
  <si>
    <t>Connecting Rod Lower Shell</t>
  </si>
  <si>
    <t>Bearing log seher (bawah)</t>
  </si>
  <si>
    <t>Bushing, Main, Crankshaft</t>
  </si>
  <si>
    <t>Bearing utama crankshaft</t>
  </si>
  <si>
    <t>The Thrust Plate</t>
  </si>
  <si>
    <t>Thrust washer crankshaft</t>
  </si>
  <si>
    <t>Cylinder Head Gasket</t>
  </si>
  <si>
    <t>Gasket kepala silinder</t>
  </si>
  <si>
    <t>Gasket, Cylinder Cover</t>
  </si>
  <si>
    <t>Gasket tutup kepala silinder</t>
  </si>
  <si>
    <t>Seal, Valve Stem</t>
  </si>
  <si>
    <t>Seal katup</t>
  </si>
  <si>
    <t>Valve, Exhaust</t>
  </si>
  <si>
    <t>Katup buang</t>
  </si>
  <si>
    <t>Valve, Intake</t>
  </si>
  <si>
    <t>Katup isap</t>
  </si>
  <si>
    <t>Spring, Valve</t>
  </si>
  <si>
    <t>Pegas katup</t>
  </si>
  <si>
    <t>Rocker Lever Group</t>
  </si>
  <si>
    <t>Rocker arm</t>
  </si>
  <si>
    <t>Camshaft Assembly</t>
  </si>
  <si>
    <t>Camshaft</t>
  </si>
  <si>
    <t>Rear Oil Seal</t>
  </si>
  <si>
    <t>Seal oli belakang crankshaft</t>
  </si>
  <si>
    <t>Front Oil Seal</t>
  </si>
  <si>
    <t>Seal oli depan crankshaft</t>
  </si>
  <si>
    <t>160101100046A011</t>
  </si>
  <si>
    <t>Oil Pan Assembly</t>
  </si>
  <si>
    <t>Bak oli</t>
  </si>
  <si>
    <t>Oil Pan Sealing Gasket</t>
  </si>
  <si>
    <t>Gasket bak oli</t>
  </si>
  <si>
    <t>Diesel Fine Filter Core</t>
  </si>
  <si>
    <t>Filter solar (fine)</t>
  </si>
  <si>
    <t>160101100046A020</t>
  </si>
  <si>
    <t>Electrical Fuel Supply Pump Assembly</t>
  </si>
  <si>
    <t>Pompa bahan bakar elektrik</t>
  </si>
  <si>
    <t>160101100046A017</t>
  </si>
  <si>
    <t>Fuel injection pump Assembly</t>
  </si>
  <si>
    <t>Pompa injeksi</t>
  </si>
  <si>
    <t>160101120038A019</t>
  </si>
  <si>
    <t>Injector</t>
  </si>
  <si>
    <t>1500 Jam</t>
  </si>
  <si>
    <t>Injektor</t>
  </si>
  <si>
    <t>Gasket (intake manifold)</t>
  </si>
  <si>
    <t>Gasket intake manifold</t>
  </si>
  <si>
    <t>Gasket, Exhaust Manifold</t>
  </si>
  <si>
    <t>Gasket exhaust manifold</t>
  </si>
  <si>
    <t>160101100046A016</t>
  </si>
  <si>
    <t>Turbo</t>
  </si>
  <si>
    <t>Kipas pendingin</t>
  </si>
  <si>
    <t>Serpentine belt</t>
  </si>
  <si>
    <t>Tensioner otomatis</t>
  </si>
  <si>
    <t>Water pump tensioner</t>
  </si>
  <si>
    <t>Tensioner water pump</t>
  </si>
  <si>
    <t>Pump, Coolant</t>
  </si>
  <si>
    <t>Body, Thermostat</t>
  </si>
  <si>
    <t>Rumah termostat</t>
  </si>
  <si>
    <t>Thermostat, Internal</t>
  </si>
  <si>
    <t>Termostat internal</t>
  </si>
  <si>
    <t>Starter</t>
  </si>
  <si>
    <t>160101100046A019</t>
  </si>
  <si>
    <t>921050600001A</t>
  </si>
  <si>
    <t>Cooling Module Assembly</t>
  </si>
  <si>
    <t>160299000044A</t>
  </si>
  <si>
    <t>expansion watertank assembly</t>
  </si>
  <si>
    <t>QDP005103916</t>
  </si>
  <si>
    <t>Radiator Outlet Pipe</t>
  </si>
  <si>
    <t>Pipa keluar radiator</t>
  </si>
  <si>
    <t>QDP005233909</t>
  </si>
  <si>
    <t>lower Water tube</t>
  </si>
  <si>
    <t>Pipa air bawah</t>
  </si>
  <si>
    <t>A820606010982</t>
  </si>
  <si>
    <t>Air Exhaust Pipe of Engine</t>
  </si>
  <si>
    <t>Selang pembuangan udara mesin</t>
  </si>
  <si>
    <t>130201000190A</t>
  </si>
  <si>
    <t>Gearbox</t>
  </si>
  <si>
    <t>130699000049A</t>
  </si>
  <si>
    <t>Driven Disc Assembly, Clutch</t>
  </si>
  <si>
    <t>130699000050A</t>
  </si>
  <si>
    <t>Pressure Plate Assembly, Clutch</t>
  </si>
  <si>
    <t>Main Pump Steel Pipe</t>
  </si>
  <si>
    <t>Pipa utama kopling</t>
  </si>
  <si>
    <t>QDP006555271</t>
  </si>
  <si>
    <t>hose assembly</t>
  </si>
  <si>
    <t>Selang kopling</t>
  </si>
  <si>
    <t>131401020776A002</t>
  </si>
  <si>
    <t>Tromol rem (intermediate)</t>
  </si>
  <si>
    <t>131401020775A005</t>
  </si>
  <si>
    <t>Bimetal brake drum</t>
  </si>
  <si>
    <t>Tromol rem bimetal (rear)</t>
  </si>
  <si>
    <t>131401020433B053</t>
  </si>
  <si>
    <t>Sepatu rem (brake shoe)</t>
  </si>
  <si>
    <t>131401020119A002</t>
  </si>
  <si>
    <t>Friction plate</t>
  </si>
  <si>
    <t>Roller</t>
  </si>
  <si>
    <t>Roller camshaft rem</t>
  </si>
  <si>
    <t>Return Spring</t>
  </si>
  <si>
    <t>131401020775A003</t>
  </si>
  <si>
    <t>Camshaft left</t>
  </si>
  <si>
    <t>Camshaft rem kiri</t>
  </si>
  <si>
    <t>131401020775A004</t>
  </si>
  <si>
    <t>Camshaft rem kanan</t>
  </si>
  <si>
    <t>Automatic ga adjusting (left)</t>
  </si>
  <si>
    <t>Adjuster otomatis rem kiri</t>
  </si>
  <si>
    <t>Automatic ga adjusting(right)</t>
  </si>
  <si>
    <t>Adjuster otomatis rem kanan</t>
  </si>
  <si>
    <t>152503990036A</t>
  </si>
  <si>
    <t>152503990037A</t>
  </si>
  <si>
    <t>Katup relay rem (belakang)</t>
  </si>
  <si>
    <t>152599000172A</t>
  </si>
  <si>
    <t>Air Processing Unit</t>
  </si>
  <si>
    <t>500 Jam / Insidentil</t>
  </si>
  <si>
    <t>Air dryer (unit pengolah udara)</t>
  </si>
  <si>
    <t>152599000172A001</t>
  </si>
  <si>
    <t>Drying Cylinder</t>
  </si>
  <si>
    <t>Silinder pengering udara</t>
  </si>
  <si>
    <t>152599000060A</t>
  </si>
  <si>
    <t>Automatic Discharging Valve</t>
  </si>
  <si>
    <t>250 Jam (manual check)</t>
  </si>
  <si>
    <t>Katup pembuang otomatis tangki udara</t>
  </si>
  <si>
    <t>131699000040A012</t>
  </si>
  <si>
    <t>Center Bolt</t>
  </si>
  <si>
    <t>Baut tengah per daun belakang</t>
  </si>
  <si>
    <t>131501000005A006</t>
  </si>
  <si>
    <t>Oil Seal Assembly</t>
  </si>
  <si>
    <t>Seal poros keseimbangan</t>
  </si>
  <si>
    <t>131501000005A008</t>
  </si>
  <si>
    <t>Balance Shaft Bushing</t>
  </si>
  <si>
    <t>Bushing poros keseimbangan</t>
  </si>
  <si>
    <t>131501000005A014</t>
  </si>
  <si>
    <t>Katup pengaman suspensi</t>
  </si>
  <si>
    <t>139999000896A001</t>
  </si>
  <si>
    <t>A-Type Elastic Ring For Hole</t>
  </si>
  <si>
    <t>Inspect</t>
  </si>
  <si>
    <t>Snap ring thrust rod</t>
  </si>
  <si>
    <t>131401020839A</t>
  </si>
  <si>
    <t>Intermediate Axle</t>
  </si>
  <si>
    <t>Gandar intermediate</t>
  </si>
  <si>
    <t>131401020840A</t>
  </si>
  <si>
    <t>Rear Axle</t>
  </si>
  <si>
    <t>Gandar belakang</t>
  </si>
  <si>
    <t>131401020433B001</t>
  </si>
  <si>
    <t>Circlip for axle</t>
  </si>
  <si>
    <t>Circlip poros gardan</t>
  </si>
  <si>
    <t>131401020433B076</t>
  </si>
  <si>
    <t>Oil baffle disc</t>
  </si>
  <si>
    <t>Baffle oli gardan</t>
  </si>
  <si>
    <t>Semi-shaft gear sleeve</t>
  </si>
  <si>
    <t>Sleeve gear poros gardan</t>
  </si>
  <si>
    <t>Semi-shaft gear</t>
  </si>
  <si>
    <t>Gear poros gardan</t>
  </si>
  <si>
    <t>131401020117A004</t>
  </si>
  <si>
    <t>Tapper rolling bearing</t>
  </si>
  <si>
    <t>Bearing, Tapered Roller</t>
  </si>
  <si>
    <t>Bearing gardan belakang</t>
  </si>
  <si>
    <t>Bearing, Tapered Roller (hub)</t>
  </si>
  <si>
    <t>Bearing hub roda</t>
  </si>
  <si>
    <t>Spacer Ring</t>
  </si>
  <si>
    <t>Ring spacer hub</t>
  </si>
  <si>
    <t>131401020362A001</t>
  </si>
  <si>
    <t>wheel bolt</t>
  </si>
  <si>
    <t>Baut roda</t>
  </si>
  <si>
    <t>131402020002B008</t>
  </si>
  <si>
    <t>Nut Wheel</t>
  </si>
  <si>
    <t>Mur roda</t>
  </si>
  <si>
    <t>131103000028A</t>
  </si>
  <si>
    <t>150105010024A</t>
  </si>
  <si>
    <t>Power Steering Oil Pump</t>
  </si>
  <si>
    <t>Radiating Tube</t>
  </si>
  <si>
    <t>Pipa pendingin power steering</t>
  </si>
  <si>
    <t>A240500000091</t>
  </si>
  <si>
    <t>Electric Two Tone Air Horn</t>
  </si>
  <si>
    <t>Klakson udara (2 nada)</t>
  </si>
  <si>
    <t>Pressure switch</t>
  </si>
  <si>
    <t>Saklar tekanan (rem, diff lock)</t>
  </si>
  <si>
    <t>Door Lamp Switch</t>
  </si>
  <si>
    <t>Saklar lampu pintu</t>
  </si>
  <si>
    <t>152503990041A</t>
  </si>
  <si>
    <t>Quadruple Solenoid Valve</t>
  </si>
  <si>
    <t>Katup solenoid 4x</t>
  </si>
  <si>
    <t>152503990041A001</t>
  </si>
  <si>
    <t>Solenoid Valve</t>
  </si>
  <si>
    <t>Koil solenoid</t>
  </si>
  <si>
    <t>160602010122A</t>
  </si>
  <si>
    <t>Desert air filter assembly</t>
  </si>
  <si>
    <t>Filter udara utama (desert)</t>
  </si>
  <si>
    <t>160699000195A</t>
  </si>
  <si>
    <t>Inlet base assembly</t>
  </si>
  <si>
    <t>Basis masuk filter udara</t>
  </si>
  <si>
    <t>Washer Motor</t>
  </si>
  <si>
    <t>Motor pompa washer</t>
  </si>
  <si>
    <t>Warning Scutcheon of No Washing</t>
  </si>
  <si>
    <t>Stiker peringatan</t>
  </si>
  <si>
    <t>Mark of "No Sliding in Neutral Gear"</t>
  </si>
  <si>
    <t>Stiker larangan</t>
  </si>
  <si>
    <t>Inter-axle Differential Warning Board</t>
  </si>
  <si>
    <t>Peringatan differential</t>
  </si>
  <si>
    <t>Hook and Loop Safety Vest</t>
  </si>
  <si>
    <t>Rompi safety</t>
  </si>
  <si>
    <t>Rubber Wheel Stop</t>
  </si>
  <si>
    <t>Penghenti roda (wheel chock)</t>
  </si>
  <si>
    <t>Triangle Alarm Board</t>
  </si>
  <si>
    <t>Segitiga pengaman</t>
  </si>
  <si>
    <t>PC200-10M0</t>
  </si>
  <si>
    <t>600-185-4100</t>
  </si>
  <si>
    <t>Swing Motor Assy</t>
  </si>
  <si>
    <t>Travel Motor Assy</t>
  </si>
  <si>
    <t>300-600 HM</t>
  </si>
  <si>
    <t>Bucket Adapter</t>
  </si>
  <si>
    <t>1000-2000 HM</t>
  </si>
  <si>
    <t>Cutting Edge</t>
  </si>
  <si>
    <t>3000-6000 HM</t>
  </si>
  <si>
    <t>Track Roller</t>
  </si>
  <si>
    <t>Carrier Roller</t>
  </si>
  <si>
    <t>Idler Assy</t>
  </si>
  <si>
    <t>Track Chain Assy</t>
  </si>
  <si>
    <t>Replace every 500 HM (heavy dust faster)</t>
  </si>
  <si>
    <t>Replace every 3000 HM or upon failure</t>
  </si>
  <si>
    <t>Coolant Long Life</t>
  </si>
  <si>
    <t>Inspect &amp; replace if worn</t>
  </si>
  <si>
    <t>Starter Motor Assy</t>
  </si>
  <si>
    <t>Alternator Assy</t>
  </si>
  <si>
    <t>Turbocharger Assy</t>
  </si>
  <si>
    <t>Replace upon performance drop</t>
  </si>
  <si>
    <t>Suspension Cylinder Seal Kit</t>
  </si>
  <si>
    <t>Hydraulic Hose</t>
  </si>
  <si>
    <t>7512-1014260</t>
  </si>
  <si>
    <t>Fuel Filter</t>
  </si>
  <si>
    <t>75710-1101012-20</t>
  </si>
  <si>
    <t>Fuel Tank Left Housing</t>
  </si>
  <si>
    <t>Replace upon damage</t>
  </si>
  <si>
    <t>5000-10000 HM</t>
  </si>
  <si>
    <t>75710-1101013-20</t>
  </si>
  <si>
    <t>Fuel Tank Right Housing</t>
  </si>
  <si>
    <t>75710-1116010</t>
  </si>
  <si>
    <t>Fuel Valve</t>
  </si>
  <si>
    <t>1500-3000 HM</t>
  </si>
  <si>
    <t>7512-1014244</t>
  </si>
  <si>
    <t>Breather Cap</t>
  </si>
  <si>
    <t>75306-1183230</t>
  </si>
  <si>
    <t>Exhaust Component</t>
  </si>
  <si>
    <t>75710-1203008</t>
  </si>
  <si>
    <t>Cooling System Component</t>
  </si>
  <si>
    <t>75710-1203101</t>
  </si>
  <si>
    <t>Radiator Assembly Part</t>
  </si>
  <si>
    <t>6000-12000 HM</t>
  </si>
  <si>
    <t>75315-1203065</t>
  </si>
  <si>
    <t>Cooling Hose</t>
  </si>
  <si>
    <t>Replace upon leak/crack</t>
  </si>
  <si>
    <t>549A-1303052</t>
  </si>
  <si>
    <t>Cooling System Connector</t>
  </si>
  <si>
    <t>75710-1303060</t>
  </si>
  <si>
    <t>Cooling Pipe</t>
  </si>
  <si>
    <t>75302-1303083</t>
  </si>
  <si>
    <t>Thermal Component</t>
  </si>
  <si>
    <t>75710-1303140</t>
  </si>
  <si>
    <t>Engine Cooling Component</t>
  </si>
  <si>
    <t>7512-3514060-10</t>
  </si>
  <si>
    <t>Brake System Component</t>
  </si>
  <si>
    <t>7512-3514051</t>
  </si>
  <si>
    <t>Brake Assembly</t>
  </si>
  <si>
    <t>7820-3514055</t>
  </si>
  <si>
    <t>Brake Control Part</t>
  </si>
  <si>
    <t>7512-3514082-10</t>
  </si>
  <si>
    <t>Brake System Seal</t>
  </si>
  <si>
    <t>7555A-3514130</t>
  </si>
  <si>
    <t>Brake Component</t>
  </si>
  <si>
    <t>6422-3515006</t>
  </si>
  <si>
    <t>Brake Cylinder Part</t>
  </si>
  <si>
    <t>75315-3537070</t>
  </si>
  <si>
    <t>Suspension Component</t>
  </si>
  <si>
    <t>75450-3537070</t>
  </si>
  <si>
    <t>Suspension Cylinder</t>
  </si>
  <si>
    <t>7000-12000 HM</t>
  </si>
  <si>
    <t>75570-3539186</t>
  </si>
  <si>
    <t>Suspension Seal</t>
  </si>
  <si>
    <t>75570-3539226</t>
  </si>
  <si>
    <t>75211-1203168</t>
  </si>
  <si>
    <t>Cooling Connector</t>
  </si>
  <si>
    <t>75710-1203270</t>
  </si>
  <si>
    <t>Cooling Line Component</t>
  </si>
  <si>
    <t>Exhaust Pipe Component</t>
  </si>
  <si>
    <t>Thermostat Component</t>
  </si>
  <si>
    <t>Brake Seal</t>
  </si>
  <si>
    <t>Brake Cylinder Component</t>
  </si>
  <si>
    <t>Replace every 500 HM (dust condition)</t>
  </si>
  <si>
    <t>207-60-71182</t>
  </si>
  <si>
    <t>207-60-71183</t>
  </si>
  <si>
    <t>Hydraulic Pilot Filter</t>
  </si>
  <si>
    <t>Hydraulic Suction Strainer</t>
  </si>
  <si>
    <t>Clean/replace every 1000 HM</t>
  </si>
  <si>
    <t>Main Pump Assy</t>
  </si>
  <si>
    <t>Bucket Teeth</t>
  </si>
  <si>
    <t>207-70-34210</t>
  </si>
  <si>
    <t>Bucket Side Cutter</t>
  </si>
  <si>
    <t>500-800 HM</t>
  </si>
  <si>
    <t>20Y-30-22180</t>
  </si>
  <si>
    <t>20Y-30-22210</t>
  </si>
  <si>
    <t>20Y-27-11582</t>
  </si>
  <si>
    <t>Sprocket Segment</t>
  </si>
  <si>
    <t>ND-OIL-ENG</t>
  </si>
  <si>
    <t>ND-OIL-HYD</t>
  </si>
  <si>
    <t>ND-OIL-FINAL</t>
  </si>
  <si>
    <t>20Y-06-15190</t>
  </si>
  <si>
    <t>600-825-3160</t>
  </si>
  <si>
    <t>600-863-5711</t>
  </si>
  <si>
    <t>20Y-60-21470</t>
  </si>
  <si>
    <t>20Y-979-6121</t>
  </si>
  <si>
    <t>Seal Kit Cylinder Boom</t>
  </si>
  <si>
    <t>561-15-12320</t>
  </si>
  <si>
    <t>Brake Pad Set</t>
  </si>
  <si>
    <t>561-22-71110</t>
  </si>
  <si>
    <t>Final Drive Assy</t>
  </si>
  <si>
    <t>8000-15000 HM</t>
  </si>
  <si>
    <t>561-15-16110</t>
  </si>
  <si>
    <t>Brake Caliper Assy</t>
  </si>
  <si>
    <t>07063-01210</t>
  </si>
  <si>
    <t>561-03-82720</t>
  </si>
  <si>
    <t>561-30-81000</t>
  </si>
  <si>
    <t>Suspension Cylinder Assy</t>
  </si>
  <si>
    <t>561-30-81220</t>
  </si>
  <si>
    <t>561-30-81410</t>
  </si>
  <si>
    <t>Steering Cylinder Assy</t>
  </si>
  <si>
    <t>561-30-81450</t>
  </si>
  <si>
    <t>Steering Seal Kit</t>
  </si>
  <si>
    <t>600-813-6630</t>
  </si>
  <si>
    <t>561-01-61500</t>
  </si>
  <si>
    <t>ND-OIL-TRANS</t>
  </si>
  <si>
    <t>Transmission Oil</t>
  </si>
  <si>
    <t>HD465-7R</t>
  </si>
  <si>
    <t>421-60-35170</t>
  </si>
  <si>
    <t>562-22-71110</t>
  </si>
  <si>
    <t>562-15-16110</t>
  </si>
  <si>
    <t>562-03-82720</t>
  </si>
  <si>
    <t>562-30-81000</t>
  </si>
  <si>
    <t>562-30-81220</t>
  </si>
  <si>
    <t>562-30-81410</t>
  </si>
  <si>
    <t>562-30-81450</t>
  </si>
  <si>
    <t>562-01-61500</t>
  </si>
  <si>
    <t>PC130-8M0</t>
  </si>
  <si>
    <t>600-185-4110</t>
  </si>
  <si>
    <t>207-60-71180</t>
  </si>
  <si>
    <t>207-60-71181</t>
  </si>
  <si>
    <t>Pilot Filter</t>
  </si>
  <si>
    <t>207-60-61250</t>
  </si>
  <si>
    <t>Return Filter</t>
  </si>
  <si>
    <t>Common Rail Injector</t>
  </si>
  <si>
    <t>Replace every 3000 HM or failure</t>
  </si>
  <si>
    <t>20Y-26-21140</t>
  </si>
  <si>
    <t>20Y-27-21150</t>
  </si>
  <si>
    <t>207-70-34160</t>
  </si>
  <si>
    <t>800-1500 HM</t>
  </si>
  <si>
    <t>207-32-03810</t>
  </si>
  <si>
    <t>207-30-00140</t>
  </si>
  <si>
    <t>207-30-00510</t>
  </si>
  <si>
    <t>207-30-74130</t>
  </si>
  <si>
    <t>20Y-30-22212</t>
  </si>
  <si>
    <t>BATTERY-EXCA</t>
  </si>
  <si>
    <t>Battery 12V Heavy Duty</t>
  </si>
  <si>
    <t>20Y-979-3120</t>
  </si>
  <si>
    <t>Seal Kit Hydraulic Cylinder</t>
  </si>
  <si>
    <t>6754-81-8090</t>
  </si>
  <si>
    <t>PC200-8/10</t>
  </si>
  <si>
    <t>205-70-19570</t>
  </si>
  <si>
    <t>205-70-19560</t>
  </si>
  <si>
    <t>Battery 24V Heavy Duty</t>
  </si>
  <si>
    <t>707-99-58080</t>
  </si>
  <si>
    <t>Hydraulic Cylinder Seal Kit</t>
  </si>
  <si>
    <t>ZX200</t>
  </si>
  <si>
    <t>Fuel Injector</t>
  </si>
  <si>
    <t>J250</t>
  </si>
  <si>
    <t>EX200-ADAPTER</t>
  </si>
  <si>
    <t>ZX200-TRACKCHAIN</t>
  </si>
  <si>
    <t>ZX200-ROLLER</t>
  </si>
  <si>
    <t>ZX200-CARRIER</t>
  </si>
  <si>
    <t>ZX200-IDLER</t>
  </si>
  <si>
    <t>ZX200-SPROCKET</t>
  </si>
  <si>
    <t>Engine Oil</t>
  </si>
  <si>
    <t>Coolant</t>
  </si>
  <si>
    <t>BATTERY-24V</t>
  </si>
  <si>
    <t>ZX-SEALKIT</t>
  </si>
  <si>
    <t>Cylinder Seal Kit</t>
  </si>
  <si>
    <t>1R-0750</t>
  </si>
  <si>
    <t>1R-1808</t>
  </si>
  <si>
    <t>6I-2501</t>
  </si>
  <si>
    <t>6I-2502</t>
  </si>
  <si>
    <t>1R-0716</t>
  </si>
  <si>
    <t>1R-0749</t>
  </si>
  <si>
    <t>Fuel Water Separator</t>
  </si>
  <si>
    <t>326-4700</t>
  </si>
  <si>
    <t>10R-7673</t>
  </si>
  <si>
    <t>0R-4384</t>
  </si>
  <si>
    <t>Brake Pad</t>
  </si>
  <si>
    <t>6Y-8910</t>
  </si>
  <si>
    <t>Transmission Filter</t>
  </si>
  <si>
    <t>9T-0973</t>
  </si>
  <si>
    <t>Torque Converter</t>
  </si>
  <si>
    <t>3E-9848</t>
  </si>
  <si>
    <t>7X-7700</t>
  </si>
  <si>
    <t>COOLANT-ELC</t>
  </si>
  <si>
    <t>B222100000660</t>
  </si>
  <si>
    <t>SY215</t>
  </si>
  <si>
    <t>B222100000661</t>
  </si>
  <si>
    <t>B222100000662</t>
  </si>
  <si>
    <t>B222100000663</t>
  </si>
  <si>
    <t>B222100000665</t>
  </si>
  <si>
    <t>B222100000666</t>
  </si>
  <si>
    <t>Common Rail Injector (Cummins)</t>
  </si>
  <si>
    <t>Fuel Pump Assy (Cummins)</t>
  </si>
  <si>
    <t>K3V112</t>
  </si>
  <si>
    <t>Main Pump Assy (Kawasaki)</t>
  </si>
  <si>
    <t>M5X130</t>
  </si>
  <si>
    <t>GM35</t>
  </si>
  <si>
    <t>2713-1217</t>
  </si>
  <si>
    <t>SY215-ADAPTER</t>
  </si>
  <si>
    <t>SY215-TRACKCHAIN</t>
  </si>
  <si>
    <t>SY215-ROLLER</t>
  </si>
  <si>
    <t>SY215-CARRIER</t>
  </si>
  <si>
    <t>SY215-IDLER</t>
  </si>
  <si>
    <t>SY215-SPROCKET</t>
  </si>
  <si>
    <t>SY215-SEALKIT</t>
  </si>
  <si>
    <t>Hydraulic Seal Kit</t>
  </si>
  <si>
    <t>C4984042</t>
  </si>
  <si>
    <t>Alternator (Cummins)</t>
  </si>
  <si>
    <t>D85</t>
  </si>
  <si>
    <t>195-15-12720</t>
  </si>
  <si>
    <t>Torque Converter Filter</t>
  </si>
  <si>
    <t>175-30-00572</t>
  </si>
  <si>
    <t>175-30-24130</t>
  </si>
  <si>
    <t>175-71-22272</t>
  </si>
  <si>
    <t>Cutting Edge Blade</t>
  </si>
  <si>
    <t>175-71-22282</t>
  </si>
  <si>
    <t>End Bit Blade</t>
  </si>
  <si>
    <t>WATER-PUMP-D85</t>
  </si>
  <si>
    <t>TURBO-ASSY-D85</t>
  </si>
  <si>
    <t>STARTER-D85</t>
  </si>
  <si>
    <t>ALTERNATOR-D85</t>
  </si>
  <si>
    <t>HYD-SEAL-KIT</t>
  </si>
  <si>
    <t>FAN-BELT-D85</t>
  </si>
  <si>
    <t>WA470</t>
  </si>
  <si>
    <t>Hydraulic Oil Filter</t>
  </si>
  <si>
    <t>714-07-28712</t>
  </si>
  <si>
    <t>WA470-BUCKET-TEETH</t>
  </si>
  <si>
    <t>WA470-ADAPTER</t>
  </si>
  <si>
    <t>WA470-CUTTINGEDGE</t>
  </si>
  <si>
    <t>WA470-SIDECUTTER</t>
  </si>
  <si>
    <t>Side Cutter</t>
  </si>
  <si>
    <t>WA470-TIRE-26.5R25</t>
  </si>
  <si>
    <t>Tire 26.5R25</t>
  </si>
  <si>
    <t>Replace based on usage</t>
  </si>
  <si>
    <t>WA470-RIM</t>
  </si>
  <si>
    <t>Rim Wheel</t>
  </si>
  <si>
    <t>Hydraulic Pump Assy</t>
  </si>
  <si>
    <t>Steering Pump</t>
  </si>
  <si>
    <t>WA470-TRAVEL-MOTOR</t>
  </si>
  <si>
    <t>Transmission Assy</t>
  </si>
  <si>
    <t>WATER-PUMP-WA470</t>
  </si>
  <si>
    <t>TURBO-WA470</t>
  </si>
  <si>
    <t>STARTER-WA470</t>
  </si>
  <si>
    <t>ALTERNATOR-WA470</t>
  </si>
  <si>
    <t>326-1644</t>
  </si>
  <si>
    <t>Primary Air Filter</t>
  </si>
  <si>
    <t>326-1643</t>
  </si>
  <si>
    <t>Secondary Air Filter</t>
  </si>
  <si>
    <t>126-1817</t>
  </si>
  <si>
    <t>Coolant Extended Life</t>
  </si>
  <si>
    <t>9W-8452</t>
  </si>
  <si>
    <t>1U-3352</t>
  </si>
  <si>
    <t>Adapter Bucket</t>
  </si>
  <si>
    <t>8E-4193</t>
  </si>
  <si>
    <t>387-9433</t>
  </si>
  <si>
    <t>Injector Assy</t>
  </si>
  <si>
    <t>Hydraulic Main Pump</t>
  </si>
  <si>
    <t>Swing Motor</t>
  </si>
  <si>
    <t>Travel Motor</t>
  </si>
  <si>
    <t>CAT320-ALT</t>
  </si>
  <si>
    <t>HD465</t>
  </si>
  <si>
    <t>561-22-78000</t>
  </si>
  <si>
    <t>Brake Cooling Filter</t>
  </si>
  <si>
    <t>HD465-TIRE-18.00R33</t>
  </si>
  <si>
    <t>Tire 18.00R33</t>
  </si>
  <si>
    <t>HD465-RIM</t>
  </si>
  <si>
    <t>Hoist Cylinder Seal Kit</t>
  </si>
  <si>
    <t>FF5488</t>
  </si>
  <si>
    <t>Fuel Filter (Fleetguard)</t>
  </si>
  <si>
    <t>EH3500</t>
  </si>
  <si>
    <t>LF9009</t>
  </si>
  <si>
    <t>Engine Oil Filter (Fleetguard)</t>
  </si>
  <si>
    <t>AF25270</t>
  </si>
  <si>
    <t>AF25271</t>
  </si>
  <si>
    <t>HF28910</t>
  </si>
  <si>
    <t>Coolant Filter (Cummins)</t>
  </si>
  <si>
    <t>EH3500-TIRE-40.00R57</t>
  </si>
  <si>
    <t>Tire 40.00R57</t>
  </si>
  <si>
    <t>EH3500-RIM</t>
  </si>
  <si>
    <t>EH3500-BRAKE</t>
  </si>
  <si>
    <t>Dry Disc Brake</t>
  </si>
  <si>
    <t>Fuel Injector (Cummins QSK50)</t>
  </si>
  <si>
    <t>Fuel Pump (Cummins)</t>
  </si>
  <si>
    <t>Turbocharger (Cummins QSK50)</t>
  </si>
  <si>
    <t>Water Pump (Cummins)</t>
  </si>
  <si>
    <t>EH3500-SEALKIT</t>
  </si>
  <si>
    <t>General Seal Kit</t>
  </si>
  <si>
    <t>346-6687</t>
  </si>
  <si>
    <t>346-6688</t>
  </si>
  <si>
    <t>1R-0719</t>
  </si>
  <si>
    <t>CAT950-TIRE-23.5R25</t>
  </si>
  <si>
    <t>Tire 23.5R25</t>
  </si>
  <si>
    <t>CAT950-RIM</t>
  </si>
  <si>
    <t>223-9148</t>
  </si>
  <si>
    <t>569-15-62910</t>
  </si>
  <si>
    <t>600-311-8321</t>
  </si>
  <si>
    <t>20Y-60-31180</t>
  </si>
  <si>
    <t>708-2L-00490</t>
  </si>
  <si>
    <t>706-7G-01170</t>
  </si>
  <si>
    <t>20Y-27-00590</t>
  </si>
  <si>
    <t>20Y-32-00300</t>
  </si>
  <si>
    <t>569-27-71310</t>
  </si>
  <si>
    <t>569-27-71320</t>
  </si>
  <si>
    <t>600-319-4110</t>
  </si>
  <si>
    <t>600-211-2110</t>
  </si>
  <si>
    <t>14X-60-31150</t>
  </si>
  <si>
    <t>423-60-45461</t>
  </si>
  <si>
    <t>6217-71-1110</t>
  </si>
  <si>
    <t>708-3D-01020</t>
  </si>
  <si>
    <t>6736-51-5142</t>
  </si>
  <si>
    <t>6754-71-1012B</t>
  </si>
  <si>
    <t>600-825-5210</t>
  </si>
  <si>
    <t>160-0934</t>
  </si>
  <si>
    <t>8E-8408</t>
  </si>
  <si>
    <t>14X-49-11150</t>
  </si>
  <si>
    <t>Track Idler Assy</t>
  </si>
  <si>
    <t>155-30-00118</t>
  </si>
  <si>
    <t>155-30-00234</t>
  </si>
  <si>
    <t>154-27-12273A</t>
  </si>
  <si>
    <t>419-60-31150</t>
  </si>
  <si>
    <t>705-52-20100</t>
  </si>
  <si>
    <t>708-1W-00010</t>
  </si>
  <si>
    <t>YA00033065</t>
  </si>
  <si>
    <t>9W-4526</t>
  </si>
  <si>
    <t>9W-4521</t>
  </si>
  <si>
    <t>9W-4524</t>
  </si>
  <si>
    <t>9W-4522</t>
  </si>
  <si>
    <t>9W-4523</t>
  </si>
  <si>
    <t>295-3265</t>
  </si>
  <si>
    <t>245-7745</t>
  </si>
  <si>
    <t>245-7755</t>
  </si>
  <si>
    <t>10R-8726</t>
  </si>
  <si>
    <t>349-0887</t>
  </si>
  <si>
    <t>126-1818</t>
  </si>
  <si>
    <t>8E-8313</t>
  </si>
  <si>
    <t>6E-3251</t>
  </si>
  <si>
    <t>6E-3310</t>
  </si>
  <si>
    <t>20R-1756</t>
  </si>
  <si>
    <t>207-1557</t>
  </si>
  <si>
    <t>702-07-36100</t>
  </si>
  <si>
    <t>708-2H-01160</t>
  </si>
  <si>
    <t>569-01-62100</t>
  </si>
  <si>
    <t>600-421-6120</t>
  </si>
  <si>
    <t>6502-11-8850</t>
  </si>
  <si>
    <t>600-921-0410</t>
  </si>
  <si>
    <t>part_number</t>
  </si>
  <si>
    <t>brand</t>
  </si>
  <si>
    <t>unit_type</t>
  </si>
  <si>
    <t>description</t>
  </si>
  <si>
    <t>qty_per_unit</t>
  </si>
  <si>
    <t>interval_service</t>
  </si>
  <si>
    <t>notes</t>
  </si>
  <si>
    <t>price</t>
  </si>
  <si>
    <t>stock_quantity</t>
  </si>
  <si>
    <t>KAMAZ</t>
  </si>
  <si>
    <t>no</t>
  </si>
  <si>
    <t>BELAZ</t>
  </si>
  <si>
    <t>SANY</t>
  </si>
  <si>
    <t>KOMATSU</t>
  </si>
  <si>
    <t>HITACHI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</si>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</sst>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" fontId="0" fillId="0" borderId="0" xfId="0" applyNumberFormat="1" applyAlignment="1">
      <alignment horizontal="right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%20Syofyan\OneDrive\Dokumen\001.%20on%20working\1.%20OSCAR\PL_PARTS_SANY_05_2026_RAPIH.xlsx" TargetMode="External"/><Relationship Id="rId1" Type="http://schemas.openxmlformats.org/officeDocument/2006/relationships/externalLinkPath" Target="file:///C:\Users\Ali%20Syofyan\OneDrive\Dokumen\001.%20on%20working\1.%20OSCAR\PL_PARTS_SANY_05_2026_RAPI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M MIX OSCAR"/>
    </sheetNames>
    <sheetDataSet>
      <sheetData sheetId="0">
        <row r="1">
          <cell r="A1" t="str">
            <v>part_number</v>
          </cell>
          <cell r="B1" t="str">
            <v>brand</v>
          </cell>
          <cell r="C1" t="str">
            <v>unit_type</v>
          </cell>
          <cell r="D1" t="str">
            <v>description</v>
          </cell>
          <cell r="E1" t="str">
            <v>qty_per_unit</v>
          </cell>
          <cell r="F1" t="str">
            <v>interval_service</v>
          </cell>
          <cell r="G1" t="str">
            <v>notes</v>
          </cell>
          <cell r="H1" t="str">
            <v>price</v>
          </cell>
          <cell r="I1" t="str">
            <v>stock_quantity</v>
          </cell>
        </row>
        <row r="2">
          <cell r="A2">
            <v>60327523</v>
          </cell>
          <cell r="B2" t="str">
            <v>SANY</v>
          </cell>
          <cell r="C2" t="str">
            <v>SKT80S, SKT90S, SKT105S</v>
          </cell>
          <cell r="D2" t="str">
            <v>Element, Engine Oil Filter</v>
          </cell>
          <cell r="E2">
            <v>1</v>
          </cell>
          <cell r="F2" t="str">
            <v>250 Jam</v>
          </cell>
          <cell r="G2" t="str">
            <v>Elemen filter oli mesin</v>
          </cell>
          <cell r="H2">
            <v>178488</v>
          </cell>
          <cell r="I2">
            <v>0</v>
          </cell>
        </row>
        <row r="3">
          <cell r="A3" t="str">
            <v>160102130003A089</v>
          </cell>
          <cell r="B3" t="str">
            <v>SANY</v>
          </cell>
          <cell r="C3" t="str">
            <v>SKT80S</v>
          </cell>
          <cell r="D3" t="str">
            <v>Oil Filter (Assembly)</v>
          </cell>
          <cell r="E3">
            <v>1</v>
          </cell>
          <cell r="F3" t="str">
            <v>250 Jam</v>
          </cell>
          <cell r="G3" t="str">
            <v>Filter oli mesin (assembly)</v>
          </cell>
          <cell r="H3">
            <v>1180152</v>
          </cell>
          <cell r="I3">
            <v>0</v>
          </cell>
        </row>
        <row r="4">
          <cell r="A4">
            <v>61019554</v>
          </cell>
          <cell r="B4" t="str">
            <v>SANY</v>
          </cell>
          <cell r="C4" t="str">
            <v>SKT80S, SKT90S, SKT105S</v>
          </cell>
          <cell r="D4" t="str">
            <v>Fuel Fine Filter</v>
          </cell>
          <cell r="E4">
            <v>1</v>
          </cell>
          <cell r="F4" t="str">
            <v>500 Jam</v>
          </cell>
          <cell r="G4" t="str">
            <v>Filter bahan bakar halus</v>
          </cell>
          <cell r="H4">
            <v>1931400</v>
          </cell>
          <cell r="I4">
            <v>1</v>
          </cell>
        </row>
        <row r="5">
          <cell r="A5">
            <v>160604020018</v>
          </cell>
          <cell r="B5" t="str">
            <v>SANY</v>
          </cell>
          <cell r="C5" t="str">
            <v>SKT80S, SKT90S, SKT105S</v>
          </cell>
          <cell r="D5" t="str">
            <v>Fuel Fine Filter Core</v>
          </cell>
          <cell r="E5">
            <v>1</v>
          </cell>
          <cell r="F5" t="str">
            <v>500 Jam</v>
          </cell>
          <cell r="G5" t="str">
            <v>Elemen filter bahan bakar halus</v>
          </cell>
          <cell r="H5">
            <v>888444.00000000012</v>
          </cell>
          <cell r="I5">
            <v>0</v>
          </cell>
        </row>
        <row r="6">
          <cell r="A6" t="str">
            <v>160102130003A110</v>
          </cell>
          <cell r="B6" t="str">
            <v>SANY</v>
          </cell>
          <cell r="C6" t="str">
            <v>SKT80S</v>
          </cell>
          <cell r="D6" t="str">
            <v>Fuel Coarse Filter</v>
          </cell>
          <cell r="E6">
            <v>1</v>
          </cell>
          <cell r="F6" t="str">
            <v>500 Jam</v>
          </cell>
          <cell r="G6" t="str">
            <v>Filter bahan bakar kasar</v>
          </cell>
          <cell r="H6">
            <v>3027636</v>
          </cell>
          <cell r="I6">
            <v>0</v>
          </cell>
        </row>
        <row r="7">
          <cell r="A7">
            <v>160604020017</v>
          </cell>
          <cell r="B7" t="str">
            <v>SANY</v>
          </cell>
          <cell r="C7" t="str">
            <v>SKT80S, SKT90S, SKT105S</v>
          </cell>
          <cell r="D7" t="str">
            <v>Fuel Coarse Filter Core</v>
          </cell>
          <cell r="E7">
            <v>1</v>
          </cell>
          <cell r="F7" t="str">
            <v>500 Jam</v>
          </cell>
          <cell r="G7" t="str">
            <v>Elemen filter bahan bakar kasar</v>
          </cell>
          <cell r="H7">
            <v>499500.00000000012</v>
          </cell>
          <cell r="I7">
            <v>1105</v>
          </cell>
        </row>
        <row r="8">
          <cell r="A8" t="str">
            <v>160603010026A</v>
          </cell>
          <cell r="B8" t="str">
            <v>SANY</v>
          </cell>
          <cell r="C8" t="str">
            <v>SKT80S, SKT90S, SKT105S</v>
          </cell>
          <cell r="D8" t="str">
            <v>Oil-water Separator</v>
          </cell>
          <cell r="E8">
            <v>1</v>
          </cell>
          <cell r="F8" t="str">
            <v>500 Jam</v>
          </cell>
          <cell r="G8" t="str">
            <v>Separator air-bahan bakar (assembly)</v>
          </cell>
          <cell r="H8">
            <v>7004988.0000000009</v>
          </cell>
          <cell r="I8">
            <v>41</v>
          </cell>
        </row>
        <row r="9">
          <cell r="A9" t="str">
            <v>160603020024A</v>
          </cell>
          <cell r="B9" t="str">
            <v>SANY</v>
          </cell>
          <cell r="C9" t="str">
            <v>SKT80S, SKT90S, SKT105S</v>
          </cell>
          <cell r="D9" t="str">
            <v>Oil-water Separator Filter Element</v>
          </cell>
          <cell r="E9">
            <v>1</v>
          </cell>
          <cell r="F9" t="str">
            <v>500 Jam</v>
          </cell>
          <cell r="G9" t="str">
            <v>Elemen separator air</v>
          </cell>
          <cell r="H9">
            <v>406260.00000000012</v>
          </cell>
          <cell r="I9">
            <v>0</v>
          </cell>
        </row>
        <row r="10">
          <cell r="A10" t="str">
            <v>160602010100A</v>
          </cell>
          <cell r="B10" t="str">
            <v>SANY</v>
          </cell>
          <cell r="C10" t="str">
            <v>SKT80S</v>
          </cell>
          <cell r="D10" t="str">
            <v>Air Filter (Assembly)</v>
          </cell>
          <cell r="E10">
            <v>1</v>
          </cell>
          <cell r="F10" t="str">
            <v>250 Jam</v>
          </cell>
          <cell r="G10" t="str">
            <v>Filter udara utama (assembly)</v>
          </cell>
          <cell r="H10">
            <v>10851804</v>
          </cell>
          <cell r="I10">
            <v>1</v>
          </cell>
        </row>
        <row r="11">
          <cell r="A11" t="str">
            <v>160602020020A</v>
          </cell>
          <cell r="B11" t="str">
            <v>SANY</v>
          </cell>
          <cell r="C11" t="str">
            <v>SKT80S</v>
          </cell>
          <cell r="D11" t="str">
            <v>Air Filter Element</v>
          </cell>
          <cell r="E11">
            <v>1</v>
          </cell>
          <cell r="F11" t="str">
            <v>250 Jam</v>
          </cell>
          <cell r="G11" t="str">
            <v>Elemen filter udara utama</v>
          </cell>
          <cell r="H11">
            <v>813852.00000000012</v>
          </cell>
          <cell r="I11">
            <v>0</v>
          </cell>
        </row>
        <row r="12">
          <cell r="A12" t="str">
            <v>160602030016A</v>
          </cell>
          <cell r="B12" t="str">
            <v>SANY</v>
          </cell>
          <cell r="C12" t="str">
            <v>SKT80S</v>
          </cell>
          <cell r="D12" t="str">
            <v>Safety Filter for Air Filter</v>
          </cell>
          <cell r="E12">
            <v>1</v>
          </cell>
          <cell r="F12" t="str">
            <v>500 Jam</v>
          </cell>
          <cell r="G12" t="str">
            <v>Filter udara sekunder / safety</v>
          </cell>
          <cell r="H12">
            <v>133200</v>
          </cell>
          <cell r="I12">
            <v>2</v>
          </cell>
        </row>
        <row r="13">
          <cell r="A13">
            <v>60141428</v>
          </cell>
          <cell r="B13" t="str">
            <v>SANY</v>
          </cell>
          <cell r="C13" t="str">
            <v>SKT80S, SKT90S, SKT105S</v>
          </cell>
          <cell r="D13" t="str">
            <v>Belt</v>
          </cell>
          <cell r="E13">
            <v>1</v>
          </cell>
          <cell r="F13" t="str">
            <v>1000 Jam</v>
          </cell>
          <cell r="G13" t="str">
            <v>Belt penggerak (poly V)</v>
          </cell>
          <cell r="H13">
            <v>170496</v>
          </cell>
          <cell r="I13">
            <v>154</v>
          </cell>
        </row>
        <row r="14">
          <cell r="A14" t="str">
            <v>160399000008A</v>
          </cell>
          <cell r="B14" t="str">
            <v>SANY</v>
          </cell>
          <cell r="C14" t="str">
            <v>SKT80S, SKT90S, SKT105S</v>
          </cell>
          <cell r="D14" t="str">
            <v>Poly V Belt</v>
          </cell>
          <cell r="E14">
            <v>1</v>
          </cell>
          <cell r="F14" t="str">
            <v>1000 Jam</v>
          </cell>
          <cell r="G14" t="str">
            <v>Poly V-belt</v>
          </cell>
          <cell r="H14">
            <v>359640</v>
          </cell>
          <cell r="I14">
            <v>125</v>
          </cell>
        </row>
        <row r="15">
          <cell r="A15">
            <v>60009584</v>
          </cell>
          <cell r="B15" t="str">
            <v>SANY</v>
          </cell>
          <cell r="C15" t="str">
            <v>SKT80S, SRT95C</v>
          </cell>
          <cell r="D15" t="str">
            <v>Fan Belt (bila ada)</v>
          </cell>
          <cell r="E15">
            <v>1</v>
          </cell>
          <cell r="F15" t="str">
            <v>1000 Jam</v>
          </cell>
          <cell r="G15" t="str">
            <v>Belt kipas (jika diperlukan)</v>
          </cell>
          <cell r="H15">
            <v>42513444</v>
          </cell>
          <cell r="I15">
            <v>9</v>
          </cell>
        </row>
        <row r="16">
          <cell r="A16" t="str">
            <v>160399000009A</v>
          </cell>
          <cell r="B16" t="str">
            <v>SANY</v>
          </cell>
          <cell r="C16" t="str">
            <v>SKT80S, SKT90S, SKT105S</v>
          </cell>
          <cell r="D16" t="str">
            <v>Automatic Tensioner</v>
          </cell>
          <cell r="E16">
            <v>1</v>
          </cell>
          <cell r="F16" t="str">
            <v>Insidentil</v>
          </cell>
          <cell r="G16" t="str">
            <v>Penegang belt otomatis</v>
          </cell>
          <cell r="H16">
            <v>976356.00000000012</v>
          </cell>
          <cell r="I16">
            <v>14</v>
          </cell>
        </row>
        <row r="17">
          <cell r="A17" t="str">
            <v>169900000152A</v>
          </cell>
          <cell r="B17" t="str">
            <v>SANY</v>
          </cell>
          <cell r="C17" t="str">
            <v>SKT80S, SKT90S, SKT105S</v>
          </cell>
          <cell r="D17" t="str">
            <v>Tensioner, Automatic</v>
          </cell>
          <cell r="E17">
            <v>1</v>
          </cell>
          <cell r="F17" t="str">
            <v>Insidentil</v>
          </cell>
          <cell r="G17" t="str">
            <v>Penegang belt otomatis</v>
          </cell>
          <cell r="H17">
            <v>1149516</v>
          </cell>
          <cell r="I17">
            <v>3</v>
          </cell>
        </row>
        <row r="18">
          <cell r="A18" t="str">
            <v>160399000007A</v>
          </cell>
          <cell r="B18" t="str">
            <v>SANY</v>
          </cell>
          <cell r="C18" t="str">
            <v>SKT80S, SKT90S, SKT105S</v>
          </cell>
          <cell r="D18" t="str">
            <v>Idle Wheel</v>
          </cell>
          <cell r="E18">
            <v>1</v>
          </cell>
          <cell r="F18" t="str">
            <v>Insidentil</v>
          </cell>
          <cell r="G18" t="str">
            <v>Roda stasioner belt</v>
          </cell>
          <cell r="H18">
            <v>580752</v>
          </cell>
          <cell r="I18">
            <v>0</v>
          </cell>
        </row>
        <row r="19">
          <cell r="A19" t="str">
            <v>160899000348A</v>
          </cell>
          <cell r="B19" t="str">
            <v>SANY</v>
          </cell>
          <cell r="C19" t="str">
            <v>SKT80S, SKT90S, SKT105S</v>
          </cell>
          <cell r="D19" t="str">
            <v>Alternator</v>
          </cell>
          <cell r="E19">
            <v>1</v>
          </cell>
          <cell r="F19" t="str">
            <v>Insidentil</v>
          </cell>
          <cell r="G19" t="str">
            <v>Alternator</v>
          </cell>
          <cell r="H19">
            <v>4121208</v>
          </cell>
          <cell r="I19">
            <v>13</v>
          </cell>
        </row>
        <row r="20">
          <cell r="A20">
            <v>61000099</v>
          </cell>
          <cell r="B20" t="str">
            <v>SANY</v>
          </cell>
          <cell r="C20" t="str">
            <v>SKT80S, SKT90S, SKT105S</v>
          </cell>
          <cell r="D20" t="str">
            <v>Motor, Starter</v>
          </cell>
          <cell r="E20">
            <v>1</v>
          </cell>
          <cell r="F20" t="str">
            <v>Insidentil</v>
          </cell>
          <cell r="G20" t="str">
            <v>Motor starter</v>
          </cell>
          <cell r="H20">
            <v>10063260</v>
          </cell>
          <cell r="I20">
            <v>80</v>
          </cell>
        </row>
        <row r="21">
          <cell r="A21" t="str">
            <v>160802010001A</v>
          </cell>
          <cell r="B21" t="str">
            <v>SANY</v>
          </cell>
          <cell r="C21" t="str">
            <v>SKT80S, SKT90S, SKT105S</v>
          </cell>
          <cell r="D21" t="str">
            <v>Fan</v>
          </cell>
          <cell r="E21">
            <v>1</v>
          </cell>
          <cell r="F21" t="str">
            <v>Insidentil</v>
          </cell>
          <cell r="G21" t="str">
            <v>Kipas radiator</v>
          </cell>
          <cell r="H21">
            <v>3078252</v>
          </cell>
          <cell r="I21">
            <v>13</v>
          </cell>
        </row>
        <row r="22">
          <cell r="A22" t="str">
            <v>160899000035A</v>
          </cell>
          <cell r="B22" t="str">
            <v>SANY</v>
          </cell>
          <cell r="C22" t="str">
            <v>SKT80S, SKT90S, SKT105S</v>
          </cell>
          <cell r="D22" t="str">
            <v>Expansion Tank</v>
          </cell>
          <cell r="E22">
            <v>1</v>
          </cell>
          <cell r="F22" t="str">
            <v>Insidentil</v>
          </cell>
          <cell r="G22" t="str">
            <v>Tangki ekspansi pendingin</v>
          </cell>
          <cell r="H22">
            <v>791208</v>
          </cell>
          <cell r="I22">
            <v>0</v>
          </cell>
        </row>
        <row r="23">
          <cell r="A23" t="str">
            <v>160801020047A</v>
          </cell>
          <cell r="B23" t="str">
            <v>SANY</v>
          </cell>
          <cell r="C23" t="str">
            <v>SKT80S</v>
          </cell>
          <cell r="D23" t="str">
            <v>Radiator</v>
          </cell>
          <cell r="E23">
            <v>1</v>
          </cell>
          <cell r="F23" t="str">
            <v>Insidentil</v>
          </cell>
          <cell r="G23" t="str">
            <v>Radiator utama</v>
          </cell>
          <cell r="H23">
            <v>40066560</v>
          </cell>
          <cell r="I23">
            <v>0</v>
          </cell>
        </row>
        <row r="24">
          <cell r="A24" t="str">
            <v>160201000004A</v>
          </cell>
          <cell r="B24" t="str">
            <v>SANY</v>
          </cell>
          <cell r="C24" t="str">
            <v>SKT80S, SKT105S</v>
          </cell>
          <cell r="D24" t="str">
            <v>Water Pump</v>
          </cell>
          <cell r="E24">
            <v>1</v>
          </cell>
          <cell r="F24" t="str">
            <v>Insidentil</v>
          </cell>
          <cell r="G24" t="str">
            <v>Pompa air pendingin</v>
          </cell>
          <cell r="H24">
            <v>4804524</v>
          </cell>
          <cell r="I24">
            <v>7</v>
          </cell>
        </row>
        <row r="25">
          <cell r="A25" t="str">
            <v>160202000001A</v>
          </cell>
          <cell r="B25" t="str">
            <v>SANY</v>
          </cell>
          <cell r="C25" t="str">
            <v>SKT80S, SKT90S, SKT105S</v>
          </cell>
          <cell r="D25" t="str">
            <v>Thermostat</v>
          </cell>
          <cell r="E25">
            <v>1</v>
          </cell>
          <cell r="F25" t="str">
            <v>Insidentil</v>
          </cell>
          <cell r="G25" t="str">
            <v>Termostat</v>
          </cell>
          <cell r="H25">
            <v>155844</v>
          </cell>
          <cell r="I25">
            <v>4</v>
          </cell>
        </row>
        <row r="26">
          <cell r="A26">
            <v>60345316</v>
          </cell>
          <cell r="B26" t="str">
            <v>SANY</v>
          </cell>
          <cell r="C26" t="str">
            <v>SKT80S, SKT90S</v>
          </cell>
          <cell r="D26" t="str">
            <v>Hydraulic Filter Element</v>
          </cell>
          <cell r="E26">
            <v>1</v>
          </cell>
          <cell r="F26" t="str">
            <v>500 Jam</v>
          </cell>
          <cell r="G26" t="str">
            <v>Elemen filter hidrolik</v>
          </cell>
          <cell r="H26">
            <v>527472</v>
          </cell>
          <cell r="I26">
            <v>0</v>
          </cell>
        </row>
        <row r="27">
          <cell r="A27" t="str">
            <v>151501000022A</v>
          </cell>
          <cell r="B27" t="str">
            <v>SANY</v>
          </cell>
          <cell r="C27" t="str">
            <v>SKT80S, SKT90S</v>
          </cell>
          <cell r="D27" t="str">
            <v>Pipeline Filter</v>
          </cell>
          <cell r="E27">
            <v>1</v>
          </cell>
          <cell r="F27" t="str">
            <v>500 Jam</v>
          </cell>
          <cell r="G27" t="str">
            <v>Filter pipa hidrolik</v>
          </cell>
          <cell r="H27">
            <v>2433564</v>
          </cell>
          <cell r="I27">
            <v>20</v>
          </cell>
        </row>
        <row r="28">
          <cell r="A28">
            <v>60101256</v>
          </cell>
          <cell r="B28" t="str">
            <v>SANY</v>
          </cell>
          <cell r="C28" t="str">
            <v>SKT80S, SKT90S, SKT105S</v>
          </cell>
          <cell r="D28" t="str">
            <v>Filter, Oil Return</v>
          </cell>
          <cell r="E28">
            <v>1</v>
          </cell>
          <cell r="F28" t="str">
            <v>500 Jam</v>
          </cell>
          <cell r="G28" t="str">
            <v>Filter oli balik hidrolik</v>
          </cell>
          <cell r="H28">
            <v>0</v>
          </cell>
          <cell r="I28">
            <v>0</v>
          </cell>
        </row>
        <row r="29">
          <cell r="A29" t="str">
            <v>130202000093A219</v>
          </cell>
          <cell r="B29" t="str">
            <v>SANY</v>
          </cell>
          <cell r="C29" t="str">
            <v>SKT80S</v>
          </cell>
          <cell r="D29" t="str">
            <v>Filtergp-Oil-D (Transmission filter)</v>
          </cell>
          <cell r="E29">
            <v>1</v>
          </cell>
          <cell r="F29" t="str">
            <v>500 Jam</v>
          </cell>
          <cell r="G29" t="str">
            <v>Filter oli transmisi</v>
          </cell>
          <cell r="H29">
            <v>36486144</v>
          </cell>
          <cell r="I29">
            <v>0</v>
          </cell>
        </row>
        <row r="30">
          <cell r="A30" t="str">
            <v>130202000093A268</v>
          </cell>
          <cell r="B30" t="str">
            <v>SANY</v>
          </cell>
          <cell r="C30" t="str">
            <v>SKT80S</v>
          </cell>
          <cell r="D30" t="str">
            <v>oil filter (Transmission)</v>
          </cell>
          <cell r="E30">
            <v>1</v>
          </cell>
          <cell r="F30" t="str">
            <v>500 Jam</v>
          </cell>
          <cell r="G30" t="str">
            <v>Filter oli transmisi</v>
          </cell>
          <cell r="H30">
            <v>30380256</v>
          </cell>
          <cell r="I30">
            <v>1</v>
          </cell>
        </row>
        <row r="31">
          <cell r="A31" t="str">
            <v>152599000112A</v>
          </cell>
          <cell r="B31" t="str">
            <v>SANY</v>
          </cell>
          <cell r="C31" t="str">
            <v>SKT80S, SKT90S, SKT105S</v>
          </cell>
          <cell r="D31" t="str">
            <v>Air Handing Unit</v>
          </cell>
          <cell r="E31">
            <v>1</v>
          </cell>
          <cell r="F31" t="str">
            <v>Insidentil</v>
          </cell>
          <cell r="G31" t="str">
            <v>Unit pengering udara (air dryer)</v>
          </cell>
          <cell r="H31">
            <v>1718280</v>
          </cell>
          <cell r="I31">
            <v>0</v>
          </cell>
        </row>
        <row r="32">
          <cell r="A32">
            <v>60284040</v>
          </cell>
          <cell r="B32" t="str">
            <v>SANY</v>
          </cell>
          <cell r="C32" t="str">
            <v>SKT80S, SKT90S</v>
          </cell>
          <cell r="D32" t="str">
            <v>Brake Valve Muffler</v>
          </cell>
          <cell r="E32">
            <v>1</v>
          </cell>
          <cell r="F32" t="str">
            <v>Insidentil</v>
          </cell>
          <cell r="G32" t="str">
            <v>Silencer katup rem</v>
          </cell>
          <cell r="H32">
            <v>61272.000000000007</v>
          </cell>
          <cell r="I32">
            <v>4</v>
          </cell>
        </row>
        <row r="33">
          <cell r="A33">
            <v>60308391</v>
          </cell>
          <cell r="B33" t="str">
            <v>SANY</v>
          </cell>
          <cell r="C33" t="str">
            <v>SKT80S, SKT90S, SKT105S,SRT95C</v>
          </cell>
          <cell r="D33" t="str">
            <v>Piston Type Accumulator</v>
          </cell>
          <cell r="E33">
            <v>2</v>
          </cell>
          <cell r="F33" t="str">
            <v>Insidentil</v>
          </cell>
          <cell r="G33" t="str">
            <v>Akumulator piston rem</v>
          </cell>
          <cell r="H33">
            <v>9325332</v>
          </cell>
          <cell r="I33">
            <v>0</v>
          </cell>
        </row>
        <row r="34">
          <cell r="A34">
            <v>60330808</v>
          </cell>
          <cell r="B34" t="str">
            <v>SANY</v>
          </cell>
          <cell r="C34" t="str">
            <v>SKT80S, SKT90S, SKT105S</v>
          </cell>
          <cell r="D34" t="str">
            <v>Relay Valve</v>
          </cell>
          <cell r="E34">
            <v>1</v>
          </cell>
          <cell r="F34" t="str">
            <v>Insidentil</v>
          </cell>
          <cell r="G34" t="str">
            <v>Katup relay rem</v>
          </cell>
          <cell r="H34">
            <v>290376</v>
          </cell>
          <cell r="I34">
            <v>0</v>
          </cell>
        </row>
        <row r="35">
          <cell r="A35">
            <v>60288834</v>
          </cell>
          <cell r="B35" t="str">
            <v>SANY</v>
          </cell>
          <cell r="C35" t="str">
            <v>SKT80S, SKT90S</v>
          </cell>
          <cell r="D35" t="str">
            <v>Limit Valve Assembly</v>
          </cell>
          <cell r="E35">
            <v>1</v>
          </cell>
          <cell r="F35" t="str">
            <v>Insidentil</v>
          </cell>
          <cell r="G35" t="str">
            <v>Katup pembatas</v>
          </cell>
          <cell r="H35">
            <v>659340</v>
          </cell>
          <cell r="I35">
            <v>10</v>
          </cell>
        </row>
        <row r="36">
          <cell r="A36" t="str">
            <v>152599000195A</v>
          </cell>
          <cell r="B36" t="str">
            <v>SANY</v>
          </cell>
          <cell r="C36" t="str">
            <v>SKT80S, SKT90S, SKT105S</v>
          </cell>
          <cell r="D36" t="str">
            <v>Air Reservoir</v>
          </cell>
          <cell r="E36">
            <v>2</v>
          </cell>
          <cell r="F36" t="str">
            <v>Insidentil</v>
          </cell>
          <cell r="G36" t="str">
            <v>Tangki udara rem</v>
          </cell>
          <cell r="H36">
            <v>1449216</v>
          </cell>
          <cell r="I36">
            <v>9</v>
          </cell>
        </row>
        <row r="37">
          <cell r="A37">
            <v>14333849</v>
          </cell>
          <cell r="B37" t="str">
            <v>SANY</v>
          </cell>
          <cell r="C37" t="str">
            <v>SKT80S</v>
          </cell>
          <cell r="D37" t="str">
            <v>Front Suspension Cylinder</v>
          </cell>
          <cell r="E37">
            <v>2</v>
          </cell>
          <cell r="F37" t="str">
            <v>Insidentil</v>
          </cell>
          <cell r="G37" t="str">
            <v>Silinder suspensi depan</v>
          </cell>
          <cell r="H37">
            <v>48344940</v>
          </cell>
          <cell r="I37">
            <v>22</v>
          </cell>
        </row>
        <row r="38">
          <cell r="A38" t="str">
            <v>131601000001A</v>
          </cell>
          <cell r="B38" t="str">
            <v>SANY</v>
          </cell>
          <cell r="C38" t="str">
            <v>SKT80S, SKT90S, SKT105S</v>
          </cell>
          <cell r="D38" t="str">
            <v>Shock Absorber (Cab)</v>
          </cell>
          <cell r="E38">
            <v>2</v>
          </cell>
          <cell r="F38" t="str">
            <v>Insidentil</v>
          </cell>
          <cell r="G38" t="str">
            <v>Peredam kejut kabin</v>
          </cell>
          <cell r="H38">
            <v>643356</v>
          </cell>
          <cell r="I38">
            <v>7</v>
          </cell>
        </row>
        <row r="39">
          <cell r="A39" t="str">
            <v>131499000001A</v>
          </cell>
          <cell r="B39" t="str">
            <v>SANY</v>
          </cell>
          <cell r="C39" t="str">
            <v>SKT80S</v>
          </cell>
          <cell r="D39" t="str">
            <v>Thrust Rod (Front Suspension)</v>
          </cell>
          <cell r="E39">
            <v>1</v>
          </cell>
          <cell r="F39" t="str">
            <v>Insidentil</v>
          </cell>
          <cell r="G39" t="str">
            <v>Push rod suspensi depan</v>
          </cell>
          <cell r="H39">
            <v>3343320</v>
          </cell>
          <cell r="I39">
            <v>2</v>
          </cell>
        </row>
        <row r="40">
          <cell r="A40" t="str">
            <v>250901040643A</v>
          </cell>
          <cell r="B40" t="str">
            <v>SANY</v>
          </cell>
          <cell r="C40" t="str">
            <v>SKT80S, SKT90S, SKT105S</v>
          </cell>
          <cell r="D40" t="str">
            <v>Steering Cylinder</v>
          </cell>
          <cell r="E40">
            <v>2</v>
          </cell>
          <cell r="F40" t="str">
            <v>Insidentil</v>
          </cell>
          <cell r="G40" t="str">
            <v>Silinder kemudi</v>
          </cell>
          <cell r="H40">
            <v>7206120.0000000009</v>
          </cell>
          <cell r="I40">
            <v>17</v>
          </cell>
        </row>
        <row r="41">
          <cell r="A41" t="str">
            <v>131402010188A034</v>
          </cell>
          <cell r="B41" t="str">
            <v>SANY</v>
          </cell>
          <cell r="C41" t="str">
            <v>SKT80S</v>
          </cell>
          <cell r="D41" t="str">
            <v>Brake Drum</v>
          </cell>
          <cell r="E41">
            <v>2</v>
          </cell>
          <cell r="F41" t="str">
            <v>Insidentil</v>
          </cell>
          <cell r="G41" t="str">
            <v>Tromol rem depan</v>
          </cell>
          <cell r="H41">
            <v>8006652.0000000009</v>
          </cell>
          <cell r="I41">
            <v>21</v>
          </cell>
        </row>
        <row r="42">
          <cell r="A42" t="str">
            <v>B230101002071</v>
          </cell>
          <cell r="B42" t="str">
            <v>SANY</v>
          </cell>
          <cell r="C42" t="str">
            <v>SKT80S, SKT90S, SKT105S, SRT95C</v>
          </cell>
          <cell r="D42" t="str">
            <v>O-ring</v>
          </cell>
          <cell r="E42">
            <v>2</v>
          </cell>
          <cell r="F42" t="str">
            <v>1000 Jam</v>
          </cell>
          <cell r="G42" t="str">
            <v>O-ring berbagai aplikasi</v>
          </cell>
          <cell r="H42">
            <v>10656</v>
          </cell>
          <cell r="I42">
            <v>174</v>
          </cell>
        </row>
        <row r="43">
          <cell r="A43">
            <v>61000087</v>
          </cell>
          <cell r="B43" t="str">
            <v>SANY</v>
          </cell>
          <cell r="C43" t="str">
            <v>SKT80S, SKT90S, SKT105S</v>
          </cell>
          <cell r="D43" t="str">
            <v>O-ring</v>
          </cell>
          <cell r="E43">
            <v>2</v>
          </cell>
          <cell r="F43" t="str">
            <v>1000 Jam</v>
          </cell>
          <cell r="G43" t="str">
            <v>O-ring</v>
          </cell>
          <cell r="H43">
            <v>26640</v>
          </cell>
          <cell r="I43">
            <v>2</v>
          </cell>
        </row>
        <row r="44">
          <cell r="A44">
            <v>60352051</v>
          </cell>
          <cell r="B44" t="str">
            <v>SANY</v>
          </cell>
          <cell r="C44" t="str">
            <v>SKT80S</v>
          </cell>
          <cell r="D44" t="str">
            <v>O-ring</v>
          </cell>
          <cell r="E44">
            <v>2</v>
          </cell>
          <cell r="F44" t="str">
            <v>1000 Jam</v>
          </cell>
          <cell r="G44" t="str">
            <v>O-ring konektor tekanan tinggi</v>
          </cell>
          <cell r="H44">
            <v>817848.00000000012</v>
          </cell>
          <cell r="I44">
            <v>2</v>
          </cell>
        </row>
        <row r="45">
          <cell r="A45" t="str">
            <v>168805000016A</v>
          </cell>
          <cell r="B45" t="str">
            <v>SANY</v>
          </cell>
          <cell r="C45" t="str">
            <v>SKT80S</v>
          </cell>
          <cell r="D45" t="str">
            <v>O-ring</v>
          </cell>
          <cell r="E45">
            <v>2</v>
          </cell>
          <cell r="F45" t="str">
            <v>1000 Jam</v>
          </cell>
          <cell r="G45" t="str">
            <v>O-ring kompresor udara</v>
          </cell>
          <cell r="H45">
            <v>33300</v>
          </cell>
          <cell r="I45">
            <v>4</v>
          </cell>
        </row>
        <row r="46">
          <cell r="A46">
            <v>60190637</v>
          </cell>
          <cell r="B46" t="str">
            <v>SANY</v>
          </cell>
          <cell r="C46" t="str">
            <v>SKT80S, SKT90S, SKT105S</v>
          </cell>
          <cell r="D46" t="str">
            <v>Battery</v>
          </cell>
          <cell r="E46">
            <v>2</v>
          </cell>
          <cell r="F46" t="str">
            <v>2000 Jam</v>
          </cell>
          <cell r="G46" t="str">
            <v>Baterai asam</v>
          </cell>
          <cell r="H46">
            <v>2013984</v>
          </cell>
          <cell r="I46">
            <v>149</v>
          </cell>
        </row>
        <row r="47">
          <cell r="A47">
            <v>60125384</v>
          </cell>
          <cell r="B47" t="str">
            <v>SANY</v>
          </cell>
          <cell r="C47" t="str">
            <v>SKT80S, SKT105S, SRT95C</v>
          </cell>
          <cell r="D47" t="str">
            <v>Power Switch</v>
          </cell>
          <cell r="E47">
            <v>1</v>
          </cell>
          <cell r="F47" t="str">
            <v>Insidentil</v>
          </cell>
          <cell r="G47" t="str">
            <v>Saklar utama baterai</v>
          </cell>
          <cell r="H47">
            <v>1390608</v>
          </cell>
          <cell r="I47">
            <v>9</v>
          </cell>
        </row>
        <row r="48">
          <cell r="A48">
            <v>60119268</v>
          </cell>
          <cell r="B48" t="str">
            <v>SANY</v>
          </cell>
          <cell r="C48" t="str">
            <v>SKT80S, SKT90S, SKT105S</v>
          </cell>
          <cell r="D48" t="str">
            <v>Ignition Lock Assembly</v>
          </cell>
          <cell r="E48">
            <v>1</v>
          </cell>
          <cell r="F48" t="str">
            <v>Insidentil</v>
          </cell>
          <cell r="G48" t="str">
            <v>Kunci kontak</v>
          </cell>
          <cell r="H48">
            <v>659340</v>
          </cell>
          <cell r="I48">
            <v>32</v>
          </cell>
        </row>
        <row r="49">
          <cell r="A49" t="str">
            <v>140999020009A</v>
          </cell>
          <cell r="B49" t="str">
            <v>SANY</v>
          </cell>
          <cell r="C49" t="str">
            <v>SKT80S, SKT90S</v>
          </cell>
          <cell r="D49" t="str">
            <v>GPS Terminal</v>
          </cell>
          <cell r="E49">
            <v>1</v>
          </cell>
          <cell r="F49" t="str">
            <v>Insidentil</v>
          </cell>
          <cell r="G49" t="str">
            <v>Terminal GPS</v>
          </cell>
          <cell r="H49">
            <v>15818832</v>
          </cell>
          <cell r="I49">
            <v>1</v>
          </cell>
        </row>
        <row r="50">
          <cell r="A50">
            <v>60198935</v>
          </cell>
          <cell r="B50" t="str">
            <v>SANY</v>
          </cell>
          <cell r="C50" t="str">
            <v>SKT80S, SKT90S, SKT105S</v>
          </cell>
          <cell r="D50" t="str">
            <v>Evaporator (AC)</v>
          </cell>
          <cell r="E50">
            <v>1</v>
          </cell>
          <cell r="F50" t="str">
            <v>Insidentil</v>
          </cell>
          <cell r="G50" t="str">
            <v>Evaporator AC kabin</v>
          </cell>
          <cell r="H50">
            <v>4780548</v>
          </cell>
          <cell r="I50">
            <v>0</v>
          </cell>
        </row>
        <row r="51">
          <cell r="A51">
            <v>61025846</v>
          </cell>
          <cell r="B51" t="str">
            <v>SANY</v>
          </cell>
          <cell r="C51" t="str">
            <v>SKT80S, SKT90S, SKT105S</v>
          </cell>
          <cell r="D51" t="str">
            <v>Condenser</v>
          </cell>
          <cell r="E51">
            <v>1</v>
          </cell>
          <cell r="F51" t="str">
            <v>Insidentil</v>
          </cell>
          <cell r="G51" t="str">
            <v>Kondensor AC</v>
          </cell>
          <cell r="H51">
            <v>2109888</v>
          </cell>
          <cell r="I51">
            <v>3</v>
          </cell>
        </row>
        <row r="52">
          <cell r="A52" t="str">
            <v>141502000079A</v>
          </cell>
          <cell r="B52" t="str">
            <v>SANY</v>
          </cell>
          <cell r="C52" t="str">
            <v>SKT80S</v>
          </cell>
          <cell r="D52" t="str">
            <v>Compressor</v>
          </cell>
          <cell r="E52">
            <v>1</v>
          </cell>
          <cell r="F52" t="str">
            <v>Insidentil</v>
          </cell>
          <cell r="G52" t="str">
            <v>Kompresor AC</v>
          </cell>
          <cell r="H52">
            <v>4408920</v>
          </cell>
          <cell r="I52">
            <v>0</v>
          </cell>
        </row>
        <row r="53">
          <cell r="A53">
            <v>60107816</v>
          </cell>
          <cell r="B53" t="str">
            <v>SANY</v>
          </cell>
          <cell r="C53" t="str">
            <v>SKT80S, SKT105S, SRT95C</v>
          </cell>
          <cell r="D53" t="str">
            <v>Gas Spring (Engine Hood)</v>
          </cell>
          <cell r="E53">
            <v>2</v>
          </cell>
          <cell r="F53" t="str">
            <v>Insidentil</v>
          </cell>
          <cell r="G53" t="str">
            <v>Gas spring kap mesin</v>
          </cell>
          <cell r="H53">
            <v>422244.00000000012</v>
          </cell>
          <cell r="I53">
            <v>4</v>
          </cell>
        </row>
        <row r="54">
          <cell r="A54" t="str">
            <v>160699000015A</v>
          </cell>
          <cell r="B54" t="str">
            <v>SANY</v>
          </cell>
          <cell r="C54" t="str">
            <v>SKT80S</v>
          </cell>
          <cell r="D54" t="str">
            <v>Air Filter Cover</v>
          </cell>
          <cell r="E54">
            <v>1</v>
          </cell>
          <cell r="F54" t="str">
            <v>Insidentil</v>
          </cell>
          <cell r="G54" t="str">
            <v>Tutup filter udara</v>
          </cell>
          <cell r="H54">
            <v>636696</v>
          </cell>
          <cell r="I54">
            <v>0</v>
          </cell>
        </row>
        <row r="55">
          <cell r="A55">
            <v>61000119</v>
          </cell>
          <cell r="B55" t="str">
            <v>SANY</v>
          </cell>
          <cell r="C55" t="str">
            <v>SKT90S, SKT105S</v>
          </cell>
          <cell r="D55" t="str">
            <v>Filter, Engine Oil</v>
          </cell>
          <cell r="E55">
            <v>1</v>
          </cell>
          <cell r="F55" t="str">
            <v>250 Jam</v>
          </cell>
          <cell r="G55" t="str">
            <v>Filter oli mesin (assembly)</v>
          </cell>
          <cell r="H55">
            <v>1249416</v>
          </cell>
          <cell r="I55">
            <v>0</v>
          </cell>
        </row>
        <row r="56">
          <cell r="A56">
            <v>61019553</v>
          </cell>
          <cell r="B56" t="str">
            <v>SANY</v>
          </cell>
          <cell r="C56" t="str">
            <v>SKT90S, SKT105S</v>
          </cell>
          <cell r="D56" t="str">
            <v>Fuel Coarse Filter</v>
          </cell>
          <cell r="E56">
            <v>1</v>
          </cell>
          <cell r="F56" t="str">
            <v>500 Jam</v>
          </cell>
          <cell r="G56" t="str">
            <v>Filter bahan bakar kasar</v>
          </cell>
          <cell r="H56">
            <v>3102228</v>
          </cell>
          <cell r="I56">
            <v>82</v>
          </cell>
        </row>
        <row r="57">
          <cell r="A57" t="str">
            <v>160602010071A</v>
          </cell>
          <cell r="B57" t="str">
            <v>SANY</v>
          </cell>
          <cell r="C57" t="str">
            <v>SKT90S</v>
          </cell>
          <cell r="D57" t="str">
            <v>Air Filter</v>
          </cell>
          <cell r="E57">
            <v>1</v>
          </cell>
          <cell r="F57" t="str">
            <v>250 Jam</v>
          </cell>
          <cell r="G57" t="str">
            <v>Filter udara utama (assembly)</v>
          </cell>
          <cell r="H57">
            <v>12904416</v>
          </cell>
          <cell r="I57">
            <v>2</v>
          </cell>
        </row>
        <row r="58">
          <cell r="A58" t="str">
            <v>160801020108A</v>
          </cell>
          <cell r="B58" t="str">
            <v>SANY</v>
          </cell>
          <cell r="C58" t="str">
            <v>SKT90S</v>
          </cell>
          <cell r="D58" t="str">
            <v>Radiator</v>
          </cell>
          <cell r="E58">
            <v>1</v>
          </cell>
          <cell r="F58" t="str">
            <v>Insidentil</v>
          </cell>
          <cell r="G58" t="str">
            <v>Radiator utama</v>
          </cell>
          <cell r="H58">
            <v>34532100</v>
          </cell>
          <cell r="I58">
            <v>2</v>
          </cell>
        </row>
        <row r="59">
          <cell r="A59" t="str">
            <v>160102120008A076</v>
          </cell>
          <cell r="B59" t="str">
            <v>SANY</v>
          </cell>
          <cell r="C59" t="str">
            <v>SKT90S</v>
          </cell>
          <cell r="D59" t="str">
            <v>Water Pump</v>
          </cell>
          <cell r="E59">
            <v>1</v>
          </cell>
          <cell r="F59" t="str">
            <v>Insidentil</v>
          </cell>
          <cell r="G59" t="str">
            <v>Pompa air pendingin</v>
          </cell>
          <cell r="H59">
            <v>8065260.0000000009</v>
          </cell>
          <cell r="I59">
            <v>13</v>
          </cell>
        </row>
        <row r="60">
          <cell r="A60" t="str">
            <v>152599000196A</v>
          </cell>
          <cell r="B60" t="str">
            <v>SANY</v>
          </cell>
          <cell r="C60" t="str">
            <v>SKT90S, SKT105S</v>
          </cell>
          <cell r="D60" t="str">
            <v>Air Storage Tank</v>
          </cell>
          <cell r="E60">
            <v>2</v>
          </cell>
          <cell r="F60" t="str">
            <v>Insidentil</v>
          </cell>
          <cell r="G60" t="str">
            <v>Tangki udara rem (sekunder)</v>
          </cell>
          <cell r="H60">
            <v>1964700</v>
          </cell>
          <cell r="I60">
            <v>0</v>
          </cell>
        </row>
        <row r="61">
          <cell r="A61" t="str">
            <v>250901040645A</v>
          </cell>
          <cell r="B61" t="str">
            <v>SANY</v>
          </cell>
          <cell r="C61" t="str">
            <v>SKT90S</v>
          </cell>
          <cell r="D61" t="str">
            <v>Front Suspension Cylinder</v>
          </cell>
          <cell r="E61">
            <v>2</v>
          </cell>
          <cell r="F61" t="str">
            <v>Insidentil</v>
          </cell>
          <cell r="G61" t="str">
            <v>Silinder suspensi depan</v>
          </cell>
          <cell r="H61">
            <v>25715592</v>
          </cell>
          <cell r="I61">
            <v>0</v>
          </cell>
        </row>
        <row r="62">
          <cell r="A62" t="str">
            <v>150901040970A</v>
          </cell>
          <cell r="B62" t="str">
            <v>SANY</v>
          </cell>
          <cell r="C62" t="str">
            <v>SKT90S, SKT105S</v>
          </cell>
          <cell r="D62" t="str">
            <v>Rear Suspension Cylinder</v>
          </cell>
          <cell r="E62">
            <v>2</v>
          </cell>
          <cell r="F62" t="str">
            <v>Insidentil</v>
          </cell>
          <cell r="G62" t="str">
            <v>Silinder suspensi belakang</v>
          </cell>
          <cell r="H62">
            <v>34663968</v>
          </cell>
          <cell r="I62">
            <v>1</v>
          </cell>
        </row>
        <row r="63">
          <cell r="A63" t="str">
            <v>131601000002A</v>
          </cell>
          <cell r="B63" t="str">
            <v>SANY</v>
          </cell>
          <cell r="C63" t="str">
            <v>SKT90S, SKT105S</v>
          </cell>
          <cell r="D63" t="str">
            <v>Damper (Cab Shock)</v>
          </cell>
          <cell r="E63">
            <v>2</v>
          </cell>
          <cell r="F63" t="str">
            <v>Insidentil</v>
          </cell>
          <cell r="G63" t="str">
            <v>Peredam kejut kabin belakang</v>
          </cell>
          <cell r="H63">
            <v>614052</v>
          </cell>
          <cell r="I63">
            <v>3</v>
          </cell>
        </row>
        <row r="64">
          <cell r="A64" t="str">
            <v>131402010001A030</v>
          </cell>
          <cell r="B64" t="str">
            <v>SANY</v>
          </cell>
          <cell r="C64" t="str">
            <v>SKT90S</v>
          </cell>
          <cell r="D64" t="str">
            <v>Brake Drum</v>
          </cell>
          <cell r="E64">
            <v>2</v>
          </cell>
          <cell r="F64" t="str">
            <v>Insidentil</v>
          </cell>
          <cell r="G64" t="str">
            <v>Tromol rem depan</v>
          </cell>
          <cell r="H64">
            <v>6248412</v>
          </cell>
          <cell r="I64">
            <v>33</v>
          </cell>
        </row>
        <row r="65">
          <cell r="A65">
            <v>60272456</v>
          </cell>
          <cell r="B65" t="str">
            <v>SANY</v>
          </cell>
          <cell r="C65" t="str">
            <v>SKT90S, SKT105S</v>
          </cell>
          <cell r="D65" t="str">
            <v>Seal Ring</v>
          </cell>
          <cell r="E65">
            <v>2</v>
          </cell>
          <cell r="F65" t="str">
            <v>1000 Jam</v>
          </cell>
          <cell r="G65" t="str">
            <v>Ring seal</v>
          </cell>
          <cell r="H65">
            <v>33300</v>
          </cell>
          <cell r="I65">
            <v>53</v>
          </cell>
        </row>
        <row r="66">
          <cell r="A66">
            <v>60272458</v>
          </cell>
          <cell r="B66" t="str">
            <v>SANY</v>
          </cell>
          <cell r="C66" t="str">
            <v>SKT90S, SKT105S</v>
          </cell>
          <cell r="D66" t="str">
            <v>Seal Washer</v>
          </cell>
          <cell r="E66">
            <v>2</v>
          </cell>
          <cell r="F66" t="str">
            <v>1000 Jam</v>
          </cell>
          <cell r="G66" t="str">
            <v>Washer seal</v>
          </cell>
          <cell r="H66">
            <v>45288</v>
          </cell>
          <cell r="I66">
            <v>5</v>
          </cell>
        </row>
        <row r="67">
          <cell r="A67" t="str">
            <v>141501000202A001</v>
          </cell>
          <cell r="B67" t="str">
            <v>SANY</v>
          </cell>
          <cell r="C67" t="str">
            <v>SKT90S, SKT105S</v>
          </cell>
          <cell r="D67" t="str">
            <v>Compressor</v>
          </cell>
          <cell r="E67">
            <v>1</v>
          </cell>
          <cell r="F67" t="str">
            <v>Insidentil</v>
          </cell>
          <cell r="G67" t="str">
            <v>Kompresor AC</v>
          </cell>
          <cell r="H67">
            <v>3656340</v>
          </cell>
          <cell r="I67">
            <v>0</v>
          </cell>
        </row>
        <row r="68">
          <cell r="A68" t="str">
            <v>160899000403A</v>
          </cell>
          <cell r="B68" t="str">
            <v>SANY</v>
          </cell>
          <cell r="C68" t="str">
            <v>SKT90S</v>
          </cell>
          <cell r="D68" t="str">
            <v>Pressure valve (Exp Tank)</v>
          </cell>
          <cell r="E68">
            <v>1</v>
          </cell>
          <cell r="F68" t="str">
            <v>Insidentil</v>
          </cell>
          <cell r="G68" t="str">
            <v>Katup tekanan tangki ekspansi</v>
          </cell>
          <cell r="H68">
            <v>390276</v>
          </cell>
          <cell r="I68">
            <v>0</v>
          </cell>
        </row>
        <row r="69">
          <cell r="A69" t="str">
            <v>160602010126A</v>
          </cell>
          <cell r="B69" t="str">
            <v>SANY</v>
          </cell>
          <cell r="C69" t="str">
            <v>SKT105S</v>
          </cell>
          <cell r="D69" t="str">
            <v>Air Filter</v>
          </cell>
          <cell r="E69">
            <v>1</v>
          </cell>
          <cell r="F69" t="str">
            <v>250 Jam</v>
          </cell>
          <cell r="G69" t="str">
            <v>Filter udara utama (assembly)</v>
          </cell>
          <cell r="H69">
            <v>12051936</v>
          </cell>
          <cell r="I69">
            <v>1</v>
          </cell>
        </row>
        <row r="70">
          <cell r="A70" t="str">
            <v>160801020125A</v>
          </cell>
          <cell r="B70" t="str">
            <v>SANY</v>
          </cell>
          <cell r="C70" t="str">
            <v>SKT105S</v>
          </cell>
          <cell r="D70" t="str">
            <v>Radiator</v>
          </cell>
          <cell r="E70">
            <v>1</v>
          </cell>
          <cell r="F70" t="str">
            <v>Insidentil</v>
          </cell>
          <cell r="G70" t="str">
            <v>Radiator utama</v>
          </cell>
          <cell r="H70">
            <v>44081208</v>
          </cell>
          <cell r="I70">
            <v>3</v>
          </cell>
        </row>
        <row r="71">
          <cell r="A71" t="str">
            <v>130202000126A210</v>
          </cell>
          <cell r="B71" t="str">
            <v>SANY</v>
          </cell>
          <cell r="C71" t="str">
            <v>SKT105S</v>
          </cell>
          <cell r="D71" t="str">
            <v>Oil Filter (Transmisi)</v>
          </cell>
          <cell r="E71">
            <v>1</v>
          </cell>
          <cell r="F71" t="str">
            <v>500 Jam</v>
          </cell>
          <cell r="G71" t="str">
            <v>Filter oli dalam transmisi</v>
          </cell>
          <cell r="H71">
            <v>3372624</v>
          </cell>
          <cell r="I71">
            <v>197</v>
          </cell>
        </row>
        <row r="72">
          <cell r="A72" t="str">
            <v>130202000126A122</v>
          </cell>
          <cell r="B72" t="str">
            <v>SANY</v>
          </cell>
          <cell r="C72" t="str">
            <v>SKT105S</v>
          </cell>
          <cell r="D72" t="str">
            <v>Suction Filter (Transmisi)</v>
          </cell>
          <cell r="E72">
            <v>1</v>
          </cell>
          <cell r="F72" t="str">
            <v>500 Jam</v>
          </cell>
          <cell r="G72" t="str">
            <v>Filter hisap transmisi</v>
          </cell>
          <cell r="H72">
            <v>6778548.0000000009</v>
          </cell>
          <cell r="I72">
            <v>0</v>
          </cell>
        </row>
        <row r="73">
          <cell r="A73">
            <v>60278222</v>
          </cell>
          <cell r="B73" t="str">
            <v>SANY</v>
          </cell>
          <cell r="C73" t="str">
            <v>SKT105S</v>
          </cell>
          <cell r="D73" t="str">
            <v>Pressure Oil Filter</v>
          </cell>
          <cell r="E73">
            <v>1</v>
          </cell>
          <cell r="F73" t="str">
            <v>500 Jam</v>
          </cell>
          <cell r="G73" t="str">
            <v>Filter oli tekanan tinggi hidrolik</v>
          </cell>
          <cell r="H73">
            <v>8131860.0000000009</v>
          </cell>
          <cell r="I73">
            <v>0</v>
          </cell>
        </row>
        <row r="74">
          <cell r="A74" t="str">
            <v>152599000112A001</v>
          </cell>
          <cell r="B74" t="str">
            <v>SANY</v>
          </cell>
          <cell r="C74" t="str">
            <v>SKT105S</v>
          </cell>
          <cell r="D74" t="str">
            <v>Air Dryer</v>
          </cell>
          <cell r="E74">
            <v>1</v>
          </cell>
          <cell r="F74" t="str">
            <v>Insidentil</v>
          </cell>
          <cell r="G74" t="str">
            <v>Elemen pengering udara</v>
          </cell>
          <cell r="H74">
            <v>1188144</v>
          </cell>
          <cell r="I74">
            <v>0</v>
          </cell>
        </row>
        <row r="75">
          <cell r="A75">
            <v>24001922</v>
          </cell>
          <cell r="B75" t="str">
            <v>SANY</v>
          </cell>
          <cell r="C75" t="str">
            <v>SKT105S</v>
          </cell>
          <cell r="D75" t="str">
            <v>Air Cleaner</v>
          </cell>
          <cell r="E75">
            <v>1</v>
          </cell>
          <cell r="F75" t="str">
            <v>Insidentil</v>
          </cell>
          <cell r="G75" t="str">
            <v>Breather tangki hidrolik</v>
          </cell>
          <cell r="H75">
            <v>230436</v>
          </cell>
          <cell r="I75">
            <v>153</v>
          </cell>
        </row>
        <row r="76">
          <cell r="A76" t="str">
            <v>A210609000033</v>
          </cell>
          <cell r="B76" t="str">
            <v>SANY</v>
          </cell>
          <cell r="C76" t="str">
            <v>SKT105S</v>
          </cell>
          <cell r="D76" t="str">
            <v>O-ring</v>
          </cell>
          <cell r="E76">
            <v>1</v>
          </cell>
          <cell r="F76" t="str">
            <v>1000 Jam</v>
          </cell>
          <cell r="G76" t="str">
            <v>O-ring tangki hidrolik (230×7)</v>
          </cell>
          <cell r="H76">
            <v>59940.000000000007</v>
          </cell>
          <cell r="I76">
            <v>50</v>
          </cell>
        </row>
        <row r="77">
          <cell r="A77">
            <v>60013667</v>
          </cell>
          <cell r="B77" t="str">
            <v>SANY</v>
          </cell>
          <cell r="C77" t="str">
            <v>SKT105S</v>
          </cell>
          <cell r="D77" t="str">
            <v>O-ring</v>
          </cell>
          <cell r="E77">
            <v>1</v>
          </cell>
          <cell r="F77" t="str">
            <v>1000 Jam</v>
          </cell>
          <cell r="G77" t="str">
            <v>O-ring kecil tangki hidrolik</v>
          </cell>
          <cell r="H77">
            <v>177156</v>
          </cell>
          <cell r="I77">
            <v>0</v>
          </cell>
        </row>
        <row r="78">
          <cell r="A78" t="str">
            <v>152599000197A</v>
          </cell>
          <cell r="B78" t="str">
            <v>SANY</v>
          </cell>
          <cell r="C78" t="str">
            <v>SKT105S</v>
          </cell>
          <cell r="D78" t="str">
            <v>Air Reservoir</v>
          </cell>
          <cell r="E78">
            <v>1</v>
          </cell>
          <cell r="F78" t="str">
            <v>Insidentil</v>
          </cell>
          <cell r="G78" t="str">
            <v>Tangki udara tambahan rem</v>
          </cell>
          <cell r="H78">
            <v>1142856</v>
          </cell>
          <cell r="I78">
            <v>0</v>
          </cell>
        </row>
        <row r="79">
          <cell r="A79" t="str">
            <v>150901040969A</v>
          </cell>
          <cell r="B79" t="str">
            <v>SANY</v>
          </cell>
          <cell r="C79" t="str">
            <v>SKT105S</v>
          </cell>
          <cell r="D79" t="str">
            <v>Front Suspension Cylinder</v>
          </cell>
          <cell r="E79">
            <v>2</v>
          </cell>
          <cell r="F79" t="str">
            <v>Insidentil</v>
          </cell>
          <cell r="G79" t="str">
            <v>Silinder suspensi depan (SKT100)</v>
          </cell>
          <cell r="H79">
            <v>25871436</v>
          </cell>
          <cell r="I79">
            <v>0</v>
          </cell>
        </row>
        <row r="80">
          <cell r="A80" t="str">
            <v>B230101002072</v>
          </cell>
          <cell r="B80" t="str">
            <v>SANY</v>
          </cell>
          <cell r="C80" t="str">
            <v>SKT105S, SRT95C</v>
          </cell>
          <cell r="D80" t="str">
            <v>O-ring</v>
          </cell>
          <cell r="E80">
            <v>2</v>
          </cell>
          <cell r="F80" t="str">
            <v>1000 Jam</v>
          </cell>
          <cell r="G80" t="str">
            <v>O-ring (69.44×3.53)</v>
          </cell>
          <cell r="H80">
            <v>78588</v>
          </cell>
          <cell r="I80">
            <v>0</v>
          </cell>
        </row>
        <row r="81">
          <cell r="A81" t="str">
            <v>A210609000171</v>
          </cell>
          <cell r="B81" t="str">
            <v>SANY</v>
          </cell>
          <cell r="C81" t="str">
            <v>SKT105S</v>
          </cell>
          <cell r="D81" t="str">
            <v>O-ring</v>
          </cell>
          <cell r="E81">
            <v>2</v>
          </cell>
          <cell r="F81" t="str">
            <v>1000 Jam</v>
          </cell>
          <cell r="G81" t="str">
            <v>O-ring (47.5×3.55) filter hidrolik</v>
          </cell>
          <cell r="H81">
            <v>2664</v>
          </cell>
          <cell r="I81">
            <v>202</v>
          </cell>
        </row>
        <row r="82">
          <cell r="A82">
            <v>60272960</v>
          </cell>
          <cell r="B82" t="str">
            <v>SANY</v>
          </cell>
          <cell r="C82" t="str">
            <v>SKT105S</v>
          </cell>
          <cell r="D82" t="str">
            <v>Seal Washer</v>
          </cell>
          <cell r="E82">
            <v>4</v>
          </cell>
          <cell r="F82" t="str">
            <v>1000 Jam</v>
          </cell>
          <cell r="G82" t="str">
            <v>Seal washer berbagai aplikasi</v>
          </cell>
          <cell r="H82">
            <v>1198.8</v>
          </cell>
          <cell r="I82">
            <v>156</v>
          </cell>
        </row>
        <row r="83">
          <cell r="A83" t="str">
            <v>152605000377A</v>
          </cell>
          <cell r="B83" t="str">
            <v>SANY</v>
          </cell>
          <cell r="C83" t="str">
            <v>SKT105S</v>
          </cell>
          <cell r="D83" t="str">
            <v>Centralized Lubrication System</v>
          </cell>
          <cell r="E83">
            <v>1</v>
          </cell>
          <cell r="F83" t="str">
            <v>Insidentil</v>
          </cell>
          <cell r="G83" t="str">
            <v>Sistem pelumasan terpusat</v>
          </cell>
          <cell r="H83">
            <v>49726224</v>
          </cell>
          <cell r="I83">
            <v>2</v>
          </cell>
        </row>
        <row r="84">
          <cell r="A84" t="str">
            <v>B220401001440</v>
          </cell>
          <cell r="B84" t="str">
            <v>SANY</v>
          </cell>
          <cell r="C84" t="str">
            <v>SKT105S, SRT95C</v>
          </cell>
          <cell r="D84" t="str">
            <v>Safety Valve (bila ada)</v>
          </cell>
          <cell r="E84">
            <v>1</v>
          </cell>
          <cell r="F84" t="str">
            <v>Insidentil</v>
          </cell>
          <cell r="G84" t="str">
            <v>Katup pengaman pelumasan (cek manual)</v>
          </cell>
          <cell r="H84">
            <v>1253412</v>
          </cell>
          <cell r="I84">
            <v>3</v>
          </cell>
        </row>
        <row r="85">
          <cell r="A85">
            <v>60062132</v>
          </cell>
          <cell r="B85" t="str">
            <v>SANY</v>
          </cell>
          <cell r="C85" t="str">
            <v>SKT105S, SRT95C</v>
          </cell>
          <cell r="D85" t="str">
            <v>Front Window Wiper ASSY</v>
          </cell>
          <cell r="E85">
            <v>1</v>
          </cell>
          <cell r="F85" t="str">
            <v>Insidentil</v>
          </cell>
          <cell r="G85" t="str">
            <v>Wiper depan (bila tercantum)</v>
          </cell>
          <cell r="I85">
            <v>6</v>
          </cell>
        </row>
        <row r="86">
          <cell r="A86" t="str">
            <v>A559900000099</v>
          </cell>
          <cell r="B86" t="str">
            <v>SANY</v>
          </cell>
          <cell r="C86" t="str">
            <v>SKT105S, SRT95C</v>
          </cell>
          <cell r="D86" t="str">
            <v>Fire Extinguisher Support</v>
          </cell>
          <cell r="E86">
            <v>2</v>
          </cell>
          <cell r="F86" t="str">
            <v>Check Berkala</v>
          </cell>
          <cell r="G86" t="str">
            <v>Support APAR (jika tersedia)</v>
          </cell>
          <cell r="H86">
            <v>319680</v>
          </cell>
          <cell r="I86">
            <v>0</v>
          </cell>
        </row>
        <row r="87">
          <cell r="A87" t="str">
            <v>B222100000595</v>
          </cell>
          <cell r="B87" t="str">
            <v>SANY</v>
          </cell>
          <cell r="C87" t="str">
            <v>SRT95C</v>
          </cell>
          <cell r="D87" t="str">
            <v>Engine Oil Filter</v>
          </cell>
          <cell r="E87">
            <v>4</v>
          </cell>
          <cell r="F87" t="str">
            <v>250 Jam</v>
          </cell>
          <cell r="G87" t="str">
            <v>Filter oli mesin</v>
          </cell>
          <cell r="H87">
            <v>578088</v>
          </cell>
          <cell r="I87">
            <v>9</v>
          </cell>
        </row>
        <row r="88">
          <cell r="A88" t="str">
            <v>A222100000615</v>
          </cell>
          <cell r="B88" t="str">
            <v>SANY</v>
          </cell>
          <cell r="C88" t="str">
            <v>SRT95C</v>
          </cell>
          <cell r="D88" t="str">
            <v>Fuel Filter Element</v>
          </cell>
          <cell r="E88">
            <v>1</v>
          </cell>
          <cell r="F88" t="str">
            <v>500 Jam</v>
          </cell>
          <cell r="G88" t="str">
            <v>Elemen filter bahan bakar</v>
          </cell>
          <cell r="H88">
            <v>635364</v>
          </cell>
          <cell r="I88">
            <v>1</v>
          </cell>
        </row>
        <row r="89">
          <cell r="A89">
            <v>60013897</v>
          </cell>
          <cell r="B89" t="str">
            <v>SANY</v>
          </cell>
          <cell r="C89" t="str">
            <v>SRT95C</v>
          </cell>
          <cell r="D89" t="str">
            <v>Main Air Filter Element</v>
          </cell>
          <cell r="E89">
            <v>1</v>
          </cell>
          <cell r="F89" t="str">
            <v>250 Jam</v>
          </cell>
          <cell r="G89" t="str">
            <v>Elemen filter udara utama</v>
          </cell>
          <cell r="H89">
            <v>2189808</v>
          </cell>
          <cell r="I89">
            <v>405</v>
          </cell>
        </row>
        <row r="90">
          <cell r="A90">
            <v>60133933</v>
          </cell>
          <cell r="B90" t="str">
            <v>SANY</v>
          </cell>
          <cell r="C90" t="str">
            <v>SRT95C</v>
          </cell>
          <cell r="D90" t="str">
            <v>Air Filter</v>
          </cell>
          <cell r="E90">
            <v>1</v>
          </cell>
          <cell r="F90" t="str">
            <v>250 Jam</v>
          </cell>
          <cell r="G90" t="str">
            <v>Filter udara</v>
          </cell>
          <cell r="H90">
            <v>267732</v>
          </cell>
          <cell r="I90">
            <v>0</v>
          </cell>
        </row>
        <row r="91">
          <cell r="A91">
            <v>21083623</v>
          </cell>
          <cell r="B91" t="str">
            <v>SANY</v>
          </cell>
          <cell r="C91" t="str">
            <v>SRT95C</v>
          </cell>
          <cell r="D91" t="str">
            <v>Water Filter</v>
          </cell>
          <cell r="E91">
            <v>2</v>
          </cell>
          <cell r="F91" t="str">
            <v>500 Jam</v>
          </cell>
          <cell r="G91" t="str">
            <v>Filter air pendingin</v>
          </cell>
          <cell r="H91">
            <v>484848.00000000012</v>
          </cell>
          <cell r="I91">
            <v>139</v>
          </cell>
        </row>
        <row r="92">
          <cell r="A92" t="str">
            <v>B229900005676</v>
          </cell>
          <cell r="B92" t="str">
            <v>SANY</v>
          </cell>
          <cell r="C92" t="str">
            <v>SRT95C</v>
          </cell>
          <cell r="D92" t="str">
            <v>Oil-water Separator</v>
          </cell>
          <cell r="E92">
            <v>1</v>
          </cell>
          <cell r="F92" t="str">
            <v>500 Jam</v>
          </cell>
          <cell r="G92" t="str">
            <v>Separator air-bahan bakar</v>
          </cell>
          <cell r="H92">
            <v>6881112.0000000009</v>
          </cell>
          <cell r="I92">
            <v>6</v>
          </cell>
        </row>
        <row r="93">
          <cell r="A93">
            <v>60004631</v>
          </cell>
          <cell r="B93" t="str">
            <v>SANY</v>
          </cell>
          <cell r="C93" t="str">
            <v>SRT95C</v>
          </cell>
          <cell r="D93" t="str">
            <v>Fan</v>
          </cell>
          <cell r="E93">
            <v>1</v>
          </cell>
          <cell r="F93" t="str">
            <v>Insidentil</v>
          </cell>
          <cell r="G93" t="str">
            <v>Kipas radiator</v>
          </cell>
          <cell r="H93">
            <v>28687284</v>
          </cell>
          <cell r="I93">
            <v>3</v>
          </cell>
        </row>
        <row r="94">
          <cell r="A94">
            <v>60015007</v>
          </cell>
          <cell r="B94" t="str">
            <v>SANY</v>
          </cell>
          <cell r="C94" t="str">
            <v>SRT95C</v>
          </cell>
          <cell r="D94" t="str">
            <v>Turbocharger</v>
          </cell>
          <cell r="E94">
            <v>2</v>
          </cell>
          <cell r="F94" t="str">
            <v>Insidentil</v>
          </cell>
          <cell r="G94" t="str">
            <v>Turbocharger</v>
          </cell>
          <cell r="H94">
            <v>889355088.00000012</v>
          </cell>
          <cell r="I94">
            <v>3</v>
          </cell>
        </row>
        <row r="95">
          <cell r="A95">
            <v>60015010</v>
          </cell>
          <cell r="B95" t="str">
            <v>SANY</v>
          </cell>
          <cell r="C95" t="str">
            <v>SRT95C</v>
          </cell>
          <cell r="D95" t="str">
            <v>Water Pump ASSY</v>
          </cell>
          <cell r="E95">
            <v>1</v>
          </cell>
          <cell r="F95" t="str">
            <v>Insidentil</v>
          </cell>
          <cell r="G95" t="str">
            <v>Pompa air</v>
          </cell>
          <cell r="H95">
            <v>141469056</v>
          </cell>
          <cell r="I95">
            <v>5</v>
          </cell>
        </row>
        <row r="96">
          <cell r="A96">
            <v>60225754</v>
          </cell>
          <cell r="B96" t="str">
            <v>SANY</v>
          </cell>
          <cell r="C96" t="str">
            <v>SRT95C</v>
          </cell>
          <cell r="D96" t="str">
            <v>Water Pump</v>
          </cell>
          <cell r="E96">
            <v>1</v>
          </cell>
          <cell r="F96" t="str">
            <v>Insidentil</v>
          </cell>
          <cell r="G96" t="str">
            <v>Pompa air</v>
          </cell>
          <cell r="H96">
            <v>534558240.00000012</v>
          </cell>
          <cell r="I96">
            <v>5</v>
          </cell>
        </row>
        <row r="97">
          <cell r="A97">
            <v>60030981</v>
          </cell>
          <cell r="B97" t="str">
            <v>SANY</v>
          </cell>
          <cell r="C97" t="str">
            <v>SRT95C</v>
          </cell>
          <cell r="D97" t="str">
            <v>Alternator</v>
          </cell>
          <cell r="E97">
            <v>1</v>
          </cell>
          <cell r="F97" t="str">
            <v>Insidentil</v>
          </cell>
          <cell r="G97" t="str">
            <v>Alternator</v>
          </cell>
          <cell r="H97">
            <v>119187360</v>
          </cell>
          <cell r="I97">
            <v>0</v>
          </cell>
        </row>
        <row r="98">
          <cell r="A98">
            <v>60025678</v>
          </cell>
          <cell r="B98" t="str">
            <v>SANY</v>
          </cell>
          <cell r="C98" t="str">
            <v>SRT95C</v>
          </cell>
          <cell r="D98" t="str">
            <v>Alternator Belt</v>
          </cell>
          <cell r="E98">
            <v>1</v>
          </cell>
          <cell r="F98" t="str">
            <v>1000 Jam</v>
          </cell>
          <cell r="G98" t="str">
            <v>Belt alternator</v>
          </cell>
          <cell r="H98">
            <v>3552444</v>
          </cell>
          <cell r="I98">
            <v>0</v>
          </cell>
        </row>
        <row r="99">
          <cell r="A99">
            <v>11576509</v>
          </cell>
          <cell r="B99" t="str">
            <v>SANY</v>
          </cell>
          <cell r="C99" t="str">
            <v>SRT95C</v>
          </cell>
          <cell r="D99" t="str">
            <v>V-belt</v>
          </cell>
          <cell r="E99">
            <v>1</v>
          </cell>
          <cell r="F99" t="str">
            <v>1000 Jam</v>
          </cell>
          <cell r="G99" t="str">
            <v>V-belt</v>
          </cell>
          <cell r="H99">
            <v>303696</v>
          </cell>
          <cell r="I99">
            <v>16</v>
          </cell>
        </row>
        <row r="100">
          <cell r="A100">
            <v>10504472</v>
          </cell>
          <cell r="B100" t="str">
            <v>SANY</v>
          </cell>
          <cell r="C100" t="str">
            <v>SRT95C</v>
          </cell>
          <cell r="D100" t="str">
            <v>Transmission Oil Filter and Pipeline</v>
          </cell>
          <cell r="E100">
            <v>1</v>
          </cell>
          <cell r="F100" t="str">
            <v>500 Jam</v>
          </cell>
          <cell r="G100" t="str">
            <v>Filter oli transmisi</v>
          </cell>
          <cell r="H100">
            <v>71163432</v>
          </cell>
          <cell r="I100">
            <v>0</v>
          </cell>
        </row>
        <row r="101">
          <cell r="A101">
            <v>10504476</v>
          </cell>
          <cell r="B101" t="str">
            <v>SANY</v>
          </cell>
          <cell r="C101" t="str">
            <v>SRT95C</v>
          </cell>
          <cell r="D101" t="str">
            <v>Hose ASSY</v>
          </cell>
          <cell r="E101">
            <v>1</v>
          </cell>
          <cell r="F101" t="str">
            <v>Insidentil</v>
          </cell>
          <cell r="G101" t="str">
            <v>Selang filter transmisi</v>
          </cell>
          <cell r="H101">
            <v>7207452.0000000009</v>
          </cell>
          <cell r="I101">
            <v>12</v>
          </cell>
        </row>
        <row r="102">
          <cell r="A102">
            <v>10504474</v>
          </cell>
          <cell r="B102" t="str">
            <v>SANY</v>
          </cell>
          <cell r="C102" t="str">
            <v>SRT95C</v>
          </cell>
          <cell r="D102" t="str">
            <v>Hose ASSY</v>
          </cell>
          <cell r="E102">
            <v>1</v>
          </cell>
          <cell r="F102" t="str">
            <v>Insidentil</v>
          </cell>
          <cell r="G102" t="str">
            <v>Selang filter transmisi</v>
          </cell>
          <cell r="H102">
            <v>2069928</v>
          </cell>
          <cell r="I102">
            <v>14</v>
          </cell>
        </row>
        <row r="103">
          <cell r="A103">
            <v>60209904</v>
          </cell>
          <cell r="B103" t="str">
            <v>SANY</v>
          </cell>
          <cell r="C103" t="str">
            <v>SRT95C</v>
          </cell>
          <cell r="D103" t="str">
            <v>Oil suction filter element</v>
          </cell>
          <cell r="E103">
            <v>1</v>
          </cell>
          <cell r="F103" t="str">
            <v>500 Jam</v>
          </cell>
          <cell r="G103" t="str">
            <v>Elemen filter hisap hidrolik</v>
          </cell>
          <cell r="H103">
            <v>460872.00000000012</v>
          </cell>
          <cell r="I103">
            <v>174</v>
          </cell>
        </row>
        <row r="104">
          <cell r="A104">
            <v>60209906</v>
          </cell>
          <cell r="B104" t="str">
            <v>SANY</v>
          </cell>
          <cell r="C104" t="str">
            <v>SRT95C</v>
          </cell>
          <cell r="D104" t="str">
            <v>Oil Suction Filter</v>
          </cell>
          <cell r="E104">
            <v>3</v>
          </cell>
          <cell r="F104" t="str">
            <v>500 Jam</v>
          </cell>
          <cell r="G104" t="str">
            <v>Filter hisap hidrolik</v>
          </cell>
          <cell r="H104">
            <v>500832.00000000012</v>
          </cell>
          <cell r="I104">
            <v>239</v>
          </cell>
        </row>
        <row r="105">
          <cell r="A105">
            <v>60215480</v>
          </cell>
          <cell r="B105" t="str">
            <v>SANY</v>
          </cell>
          <cell r="C105" t="str">
            <v>SRT95C</v>
          </cell>
          <cell r="D105" t="str">
            <v>Oil Return Filter Element</v>
          </cell>
          <cell r="E105">
            <v>2</v>
          </cell>
          <cell r="F105" t="str">
            <v>500 Jam</v>
          </cell>
          <cell r="G105" t="str">
            <v>Elemen filter return hidrolik</v>
          </cell>
          <cell r="H105">
            <v>4648680</v>
          </cell>
          <cell r="I105">
            <v>19</v>
          </cell>
        </row>
        <row r="106">
          <cell r="A106">
            <v>60072824</v>
          </cell>
          <cell r="B106" t="str">
            <v>SANY</v>
          </cell>
          <cell r="C106" t="str">
            <v>SRT95C</v>
          </cell>
          <cell r="D106" t="str">
            <v>High-pressure Filter</v>
          </cell>
          <cell r="E106">
            <v>1</v>
          </cell>
          <cell r="F106" t="str">
            <v>500 Jam</v>
          </cell>
          <cell r="G106" t="str">
            <v>Filter tekanan tinggi steering</v>
          </cell>
          <cell r="H106">
            <v>4724604</v>
          </cell>
          <cell r="I106">
            <v>0</v>
          </cell>
        </row>
        <row r="107">
          <cell r="A107">
            <v>60169444</v>
          </cell>
          <cell r="B107" t="str">
            <v>SANY</v>
          </cell>
          <cell r="C107" t="str">
            <v>SRT95C</v>
          </cell>
          <cell r="D107" t="str">
            <v>High-pressure Oil Filter</v>
          </cell>
          <cell r="E107">
            <v>2</v>
          </cell>
          <cell r="F107" t="str">
            <v>500 Jam</v>
          </cell>
          <cell r="G107" t="str">
            <v>Filter oli tekanan tinggi (brake cooling)</v>
          </cell>
          <cell r="H107">
            <v>3655008</v>
          </cell>
          <cell r="I107">
            <v>1122</v>
          </cell>
        </row>
        <row r="108">
          <cell r="A108">
            <v>60276980</v>
          </cell>
          <cell r="B108" t="str">
            <v>SANY</v>
          </cell>
          <cell r="C108" t="str">
            <v>SRT95C</v>
          </cell>
          <cell r="D108" t="str">
            <v>Filter</v>
          </cell>
          <cell r="E108">
            <v>2</v>
          </cell>
          <cell r="F108" t="str">
            <v>500 Jam</v>
          </cell>
          <cell r="G108" t="str">
            <v>Filter brake cooling</v>
          </cell>
          <cell r="H108">
            <v>6161832</v>
          </cell>
          <cell r="I108">
            <v>0</v>
          </cell>
        </row>
        <row r="109">
          <cell r="A109">
            <v>61023944</v>
          </cell>
          <cell r="B109" t="str">
            <v>SANY</v>
          </cell>
          <cell r="C109" t="str">
            <v>SRT95C</v>
          </cell>
          <cell r="D109" t="str">
            <v>Water-cooling Radiator</v>
          </cell>
          <cell r="E109">
            <v>2</v>
          </cell>
          <cell r="F109" t="str">
            <v>Insidentil</v>
          </cell>
          <cell r="G109" t="str">
            <v>Radiator pendingin oli</v>
          </cell>
          <cell r="H109">
            <v>38806488</v>
          </cell>
          <cell r="I109">
            <v>0</v>
          </cell>
        </row>
        <row r="110">
          <cell r="A110">
            <v>61023945</v>
          </cell>
          <cell r="B110" t="str">
            <v>SANY</v>
          </cell>
          <cell r="C110" t="str">
            <v>SRT95C</v>
          </cell>
          <cell r="D110" t="str">
            <v>Water-cooling Radiator</v>
          </cell>
          <cell r="E110">
            <v>1</v>
          </cell>
          <cell r="F110" t="str">
            <v>Insidentil</v>
          </cell>
          <cell r="G110" t="str">
            <v>Radiator pendingin oli</v>
          </cell>
          <cell r="H110">
            <v>64924344.000000007</v>
          </cell>
          <cell r="I110">
            <v>1</v>
          </cell>
        </row>
        <row r="111">
          <cell r="A111">
            <v>60136332</v>
          </cell>
          <cell r="B111" t="str">
            <v>SANY</v>
          </cell>
          <cell r="C111" t="str">
            <v>SRT95C</v>
          </cell>
          <cell r="D111" t="str">
            <v>Breather valve</v>
          </cell>
          <cell r="E111">
            <v>2</v>
          </cell>
          <cell r="F111" t="str">
            <v>Insidentil</v>
          </cell>
          <cell r="G111" t="str">
            <v>Katup pernapasan tangki</v>
          </cell>
          <cell r="H111">
            <v>507492.00000000012</v>
          </cell>
          <cell r="I111">
            <v>556</v>
          </cell>
        </row>
        <row r="112">
          <cell r="A112" t="str">
            <v>A210609000384</v>
          </cell>
          <cell r="B112" t="str">
            <v>SANY</v>
          </cell>
          <cell r="C112" t="str">
            <v>SRT95C</v>
          </cell>
          <cell r="D112" t="str">
            <v>O-ring</v>
          </cell>
          <cell r="E112">
            <v>2</v>
          </cell>
          <cell r="F112" t="str">
            <v>1000 Jam</v>
          </cell>
          <cell r="G112" t="str">
            <v>O-ring cleaning cover</v>
          </cell>
          <cell r="H112">
            <v>314352</v>
          </cell>
          <cell r="I112">
            <v>5</v>
          </cell>
        </row>
        <row r="113">
          <cell r="A113" t="str">
            <v>A210609000376</v>
          </cell>
          <cell r="B113" t="str">
            <v>SANY</v>
          </cell>
          <cell r="C113" t="str">
            <v>SRT95C</v>
          </cell>
          <cell r="D113" t="str">
            <v>O-ring</v>
          </cell>
          <cell r="E113">
            <v>2</v>
          </cell>
          <cell r="F113" t="str">
            <v>1000 Jam</v>
          </cell>
          <cell r="G113" t="str">
            <v>O-ring</v>
          </cell>
          <cell r="H113">
            <v>278388</v>
          </cell>
          <cell r="I113">
            <v>15</v>
          </cell>
        </row>
        <row r="114">
          <cell r="A114" t="str">
            <v>A210609000209</v>
          </cell>
          <cell r="B114" t="str">
            <v>SANY</v>
          </cell>
          <cell r="C114" t="str">
            <v>SRT95C</v>
          </cell>
          <cell r="D114" t="str">
            <v>O-ring</v>
          </cell>
          <cell r="E114">
            <v>2</v>
          </cell>
          <cell r="F114" t="str">
            <v>1000 Jam</v>
          </cell>
          <cell r="G114" t="str">
            <v>O-ring</v>
          </cell>
          <cell r="H114">
            <v>51948.000000000007</v>
          </cell>
          <cell r="I114">
            <v>30</v>
          </cell>
        </row>
        <row r="115">
          <cell r="A115" t="str">
            <v>A210609000202</v>
          </cell>
          <cell r="B115" t="str">
            <v>SANY</v>
          </cell>
          <cell r="C115" t="str">
            <v>SRT95C</v>
          </cell>
          <cell r="D115" t="str">
            <v>O-ring</v>
          </cell>
          <cell r="E115">
            <v>2</v>
          </cell>
          <cell r="F115" t="str">
            <v>1000 Jam</v>
          </cell>
          <cell r="G115" t="str">
            <v>O-ring</v>
          </cell>
          <cell r="H115">
            <v>31968</v>
          </cell>
          <cell r="I115">
            <v>0</v>
          </cell>
        </row>
        <row r="116">
          <cell r="A116">
            <v>60308392</v>
          </cell>
          <cell r="B116" t="str">
            <v>SANY</v>
          </cell>
          <cell r="C116" t="str">
            <v>SRT95C</v>
          </cell>
          <cell r="D116" t="str">
            <v>Piston Accumulator</v>
          </cell>
          <cell r="E116">
            <v>2</v>
          </cell>
          <cell r="F116" t="str">
            <v>Insidentil</v>
          </cell>
          <cell r="G116" t="str">
            <v>Akumulator piston steering</v>
          </cell>
          <cell r="H116">
            <v>16446204</v>
          </cell>
          <cell r="I116">
            <v>0</v>
          </cell>
        </row>
        <row r="117">
          <cell r="A117">
            <v>61026743</v>
          </cell>
          <cell r="B117" t="str">
            <v>SANY</v>
          </cell>
          <cell r="C117" t="str">
            <v>SRT95C</v>
          </cell>
          <cell r="D117" t="str">
            <v>Accumulator Repair Kit</v>
          </cell>
          <cell r="E117">
            <v>1</v>
          </cell>
          <cell r="F117" t="str">
            <v>Insidentil</v>
          </cell>
          <cell r="G117" t="str">
            <v>Kit perbaikan akumulator</v>
          </cell>
          <cell r="H117">
            <v>3371292</v>
          </cell>
          <cell r="I117">
            <v>37</v>
          </cell>
        </row>
        <row r="118">
          <cell r="A118" t="str">
            <v>B230101002024</v>
          </cell>
          <cell r="B118" t="str">
            <v>SANY</v>
          </cell>
          <cell r="C118" t="str">
            <v>SRT95C</v>
          </cell>
          <cell r="D118" t="str">
            <v>Floating Oil Seal</v>
          </cell>
          <cell r="E118">
            <v>1</v>
          </cell>
          <cell r="F118" t="str">
            <v>Insidentil</v>
          </cell>
          <cell r="G118" t="str">
            <v>Floating oil seal (brake)</v>
          </cell>
          <cell r="H118">
            <v>39762864</v>
          </cell>
          <cell r="I118">
            <v>0</v>
          </cell>
        </row>
        <row r="119">
          <cell r="A119">
            <v>60237512</v>
          </cell>
          <cell r="B119" t="str">
            <v>SANY</v>
          </cell>
          <cell r="C119" t="str">
            <v>SRT95C</v>
          </cell>
          <cell r="D119" t="str">
            <v>Floating Oil Seal</v>
          </cell>
          <cell r="E119">
            <v>1</v>
          </cell>
          <cell r="F119" t="str">
            <v>Insidentil</v>
          </cell>
          <cell r="G119" t="str">
            <v>Floating oil seal (rear axle)</v>
          </cell>
          <cell r="H119">
            <v>24058584</v>
          </cell>
          <cell r="I119">
            <v>6</v>
          </cell>
        </row>
        <row r="120">
          <cell r="A120">
            <v>60189516</v>
          </cell>
          <cell r="B120" t="str">
            <v>SANY</v>
          </cell>
          <cell r="C120" t="str">
            <v>SRT95C</v>
          </cell>
          <cell r="D120" t="str">
            <v>Brake Valve Group</v>
          </cell>
          <cell r="E120">
            <v>1</v>
          </cell>
          <cell r="F120" t="str">
            <v>Insidentil</v>
          </cell>
          <cell r="G120" t="str">
            <v>Grup katup rem</v>
          </cell>
          <cell r="H120">
            <v>45326628</v>
          </cell>
          <cell r="I120">
            <v>8</v>
          </cell>
        </row>
        <row r="121">
          <cell r="A121">
            <v>60197325</v>
          </cell>
          <cell r="B121" t="str">
            <v>SANY</v>
          </cell>
          <cell r="C121" t="str">
            <v>SRT95C</v>
          </cell>
          <cell r="D121" t="str">
            <v>pedal valve</v>
          </cell>
          <cell r="E121">
            <v>1</v>
          </cell>
          <cell r="F121" t="str">
            <v>Insidentil</v>
          </cell>
          <cell r="G121" t="str">
            <v>Katup pedal rem</v>
          </cell>
          <cell r="H121">
            <v>26425548</v>
          </cell>
          <cell r="I121">
            <v>2</v>
          </cell>
        </row>
        <row r="122">
          <cell r="A122">
            <v>12690092</v>
          </cell>
          <cell r="B122" t="str">
            <v>SANY</v>
          </cell>
          <cell r="C122" t="str">
            <v>SRT95C</v>
          </cell>
          <cell r="D122" t="str">
            <v>Rear Suspension Cylinder</v>
          </cell>
          <cell r="E122">
            <v>1</v>
          </cell>
          <cell r="F122" t="str">
            <v>Insidentil</v>
          </cell>
          <cell r="G122" t="str">
            <v>Silinder suspensi belakang</v>
          </cell>
          <cell r="H122">
            <v>141919272</v>
          </cell>
          <cell r="I122">
            <v>0</v>
          </cell>
        </row>
        <row r="123">
          <cell r="A123" t="str">
            <v>150901020131A</v>
          </cell>
          <cell r="B123" t="str">
            <v>SANY</v>
          </cell>
          <cell r="C123" t="str">
            <v>SRT95C</v>
          </cell>
          <cell r="D123" t="str">
            <v>Suspension oil cylinder</v>
          </cell>
          <cell r="E123">
            <v>1</v>
          </cell>
          <cell r="F123" t="str">
            <v>Insidentil</v>
          </cell>
          <cell r="G123" t="str">
            <v>Silinder suspensi depan</v>
          </cell>
          <cell r="H123">
            <v>121130748</v>
          </cell>
          <cell r="I123">
            <v>0</v>
          </cell>
        </row>
        <row r="124">
          <cell r="A124">
            <v>11508145</v>
          </cell>
          <cell r="B124" t="str">
            <v>SANY</v>
          </cell>
          <cell r="C124" t="str">
            <v>SRT95C</v>
          </cell>
          <cell r="D124" t="str">
            <v>Half Shaft</v>
          </cell>
          <cell r="E124">
            <v>2</v>
          </cell>
          <cell r="F124" t="str">
            <v>Insidentil</v>
          </cell>
          <cell r="G124" t="str">
            <v>Half shaft (poros samping)</v>
          </cell>
          <cell r="H124">
            <v>36126504</v>
          </cell>
          <cell r="I124">
            <v>2</v>
          </cell>
        </row>
        <row r="125">
          <cell r="A125">
            <v>60004581</v>
          </cell>
          <cell r="B125" t="str">
            <v>SANY</v>
          </cell>
          <cell r="C125" t="str">
            <v>SRT95C</v>
          </cell>
          <cell r="D125" t="str">
            <v>Rolling Bearing</v>
          </cell>
          <cell r="E125">
            <v>1</v>
          </cell>
          <cell r="F125" t="str">
            <v>Insidentil</v>
          </cell>
          <cell r="G125" t="str">
            <v>Bearing gardan</v>
          </cell>
          <cell r="H125">
            <v>15194124</v>
          </cell>
          <cell r="I125">
            <v>18</v>
          </cell>
        </row>
        <row r="126">
          <cell r="A126">
            <v>60004582</v>
          </cell>
          <cell r="B126" t="str">
            <v>SANY</v>
          </cell>
          <cell r="C126" t="str">
            <v>SRT95C</v>
          </cell>
          <cell r="D126" t="str">
            <v>Rolling Bearing</v>
          </cell>
          <cell r="E126">
            <v>1</v>
          </cell>
          <cell r="F126" t="str">
            <v>Insidentil</v>
          </cell>
          <cell r="G126" t="str">
            <v>Bearing gardan</v>
          </cell>
          <cell r="H126">
            <v>92414160</v>
          </cell>
          <cell r="I126">
            <v>2</v>
          </cell>
        </row>
        <row r="127">
          <cell r="A127">
            <v>60004583</v>
          </cell>
          <cell r="B127" t="str">
            <v>SANY</v>
          </cell>
          <cell r="C127" t="str">
            <v>SRT95C</v>
          </cell>
          <cell r="D127" t="str">
            <v>Rolling Bearing</v>
          </cell>
          <cell r="E127">
            <v>1</v>
          </cell>
          <cell r="F127" t="str">
            <v>Insidentil</v>
          </cell>
          <cell r="G127" t="str">
            <v>Bearing gardan</v>
          </cell>
          <cell r="H127">
            <v>91480428</v>
          </cell>
          <cell r="I127">
            <v>3</v>
          </cell>
        </row>
        <row r="128">
          <cell r="A128" t="str">
            <v>B221500000557</v>
          </cell>
          <cell r="B128" t="str">
            <v>SANY</v>
          </cell>
          <cell r="C128" t="str">
            <v>SRT95C</v>
          </cell>
          <cell r="D128" t="str">
            <v>Rolling Bearing</v>
          </cell>
          <cell r="E128">
            <v>1</v>
          </cell>
          <cell r="F128" t="str">
            <v>Insidentil</v>
          </cell>
          <cell r="G128" t="str">
            <v>Bearing gardan</v>
          </cell>
          <cell r="H128">
            <v>24939036</v>
          </cell>
          <cell r="I128">
            <v>21</v>
          </cell>
        </row>
        <row r="129">
          <cell r="A129" t="str">
            <v>B221500000639</v>
          </cell>
          <cell r="B129" t="str">
            <v>SANY</v>
          </cell>
          <cell r="C129" t="str">
            <v>SRT95C</v>
          </cell>
          <cell r="D129" t="str">
            <v>Rolling Bearing</v>
          </cell>
          <cell r="E129">
            <v>2</v>
          </cell>
          <cell r="F129" t="str">
            <v>Insidentil</v>
          </cell>
          <cell r="G129" t="str">
            <v>Bearing gardan</v>
          </cell>
          <cell r="H129">
            <v>41433192</v>
          </cell>
          <cell r="I129">
            <v>2</v>
          </cell>
        </row>
        <row r="130">
          <cell r="A130" t="str">
            <v>B221500000637</v>
          </cell>
          <cell r="B130" t="str">
            <v>SANY</v>
          </cell>
          <cell r="C130" t="str">
            <v>SRT95C</v>
          </cell>
          <cell r="D130" t="str">
            <v>Rolling Bearing</v>
          </cell>
          <cell r="E130">
            <v>4</v>
          </cell>
          <cell r="F130" t="str">
            <v>Insidentil</v>
          </cell>
          <cell r="G130" t="str">
            <v>Bearing gardan</v>
          </cell>
          <cell r="H130">
            <v>9679644</v>
          </cell>
          <cell r="I130">
            <v>5</v>
          </cell>
        </row>
        <row r="131">
          <cell r="A131">
            <v>60010518</v>
          </cell>
          <cell r="B131" t="str">
            <v>SANY</v>
          </cell>
          <cell r="C131" t="str">
            <v>SRT95C</v>
          </cell>
          <cell r="D131" t="str">
            <v>LA Oil Seal</v>
          </cell>
          <cell r="E131">
            <v>1</v>
          </cell>
          <cell r="F131" t="str">
            <v>Insidentil</v>
          </cell>
          <cell r="G131" t="str">
            <v>Oil seal gardan</v>
          </cell>
          <cell r="H131">
            <v>1164168</v>
          </cell>
          <cell r="I131">
            <v>83</v>
          </cell>
        </row>
        <row r="132">
          <cell r="A132">
            <v>60010516</v>
          </cell>
          <cell r="B132" t="str">
            <v>SANY</v>
          </cell>
          <cell r="C132" t="str">
            <v>SRT95C</v>
          </cell>
          <cell r="D132" t="str">
            <v>Nut</v>
          </cell>
          <cell r="E132">
            <v>36</v>
          </cell>
          <cell r="F132" t="str">
            <v>Insidentil</v>
          </cell>
          <cell r="G132" t="str">
            <v>Mur pengunci bearing</v>
          </cell>
          <cell r="H132">
            <v>14652</v>
          </cell>
          <cell r="I132">
            <v>150</v>
          </cell>
        </row>
        <row r="133">
          <cell r="A133" t="str">
            <v>B230101002070</v>
          </cell>
          <cell r="B133" t="str">
            <v>SANY</v>
          </cell>
          <cell r="C133" t="str">
            <v>SRT95C</v>
          </cell>
          <cell r="D133" t="str">
            <v>O-ring</v>
          </cell>
          <cell r="E133">
            <v>1</v>
          </cell>
          <cell r="F133" t="str">
            <v>1000 Jam</v>
          </cell>
          <cell r="G133" t="str">
            <v>O-ring</v>
          </cell>
          <cell r="H133">
            <v>45288</v>
          </cell>
          <cell r="I133">
            <v>23</v>
          </cell>
        </row>
        <row r="134">
          <cell r="A134" t="str">
            <v>A230101000628</v>
          </cell>
          <cell r="B134" t="str">
            <v>SANY</v>
          </cell>
          <cell r="C134" t="str">
            <v>SRT95C</v>
          </cell>
          <cell r="D134" t="str">
            <v>O-ring</v>
          </cell>
          <cell r="E134">
            <v>9</v>
          </cell>
          <cell r="F134" t="str">
            <v>1000 Jam</v>
          </cell>
          <cell r="G134" t="str">
            <v>O-ring brake cooling</v>
          </cell>
          <cell r="H134">
            <v>26640</v>
          </cell>
          <cell r="I134">
            <v>0</v>
          </cell>
        </row>
        <row r="135">
          <cell r="A135">
            <v>14194190</v>
          </cell>
          <cell r="B135" t="str">
            <v>SANY</v>
          </cell>
          <cell r="C135" t="str">
            <v>SRT95C</v>
          </cell>
          <cell r="D135" t="str">
            <v>Sealing Pad</v>
          </cell>
          <cell r="E135">
            <v>1</v>
          </cell>
          <cell r="F135" t="str">
            <v>1000 Jam</v>
          </cell>
          <cell r="G135" t="str">
            <v>Sealing pad</v>
          </cell>
          <cell r="H135">
            <v>145188</v>
          </cell>
          <cell r="I135">
            <v>462</v>
          </cell>
        </row>
        <row r="136">
          <cell r="A136">
            <v>14202655</v>
          </cell>
          <cell r="B136" t="str">
            <v>SANY</v>
          </cell>
          <cell r="C136" t="str">
            <v>SRT95C</v>
          </cell>
          <cell r="D136" t="str">
            <v>Sealing Gasket</v>
          </cell>
          <cell r="E136">
            <v>4</v>
          </cell>
          <cell r="F136" t="str">
            <v>1000 Jam</v>
          </cell>
          <cell r="G136" t="str">
            <v>Gasket</v>
          </cell>
          <cell r="H136">
            <v>111888</v>
          </cell>
          <cell r="I136">
            <v>28</v>
          </cell>
        </row>
        <row r="137">
          <cell r="A137">
            <v>12171757</v>
          </cell>
          <cell r="B137" t="str">
            <v>SANY</v>
          </cell>
          <cell r="C137" t="str">
            <v>SRT95C</v>
          </cell>
          <cell r="D137" t="str">
            <v>Gasket</v>
          </cell>
          <cell r="E137">
            <v>4</v>
          </cell>
          <cell r="F137" t="str">
            <v>1000 Jam</v>
          </cell>
          <cell r="G137" t="str">
            <v>Gasket</v>
          </cell>
          <cell r="H137">
            <v>475524.00000000012</v>
          </cell>
          <cell r="I137">
            <v>0</v>
          </cell>
        </row>
        <row r="138">
          <cell r="A138">
            <v>10700960</v>
          </cell>
          <cell r="B138" t="str">
            <v>SANY</v>
          </cell>
          <cell r="C138" t="str">
            <v>SRT95C</v>
          </cell>
          <cell r="D138" t="str">
            <v>Gasket</v>
          </cell>
          <cell r="E138">
            <v>4</v>
          </cell>
          <cell r="F138" t="str">
            <v>1000 Jam</v>
          </cell>
          <cell r="G138" t="str">
            <v>Gasket radiator</v>
          </cell>
          <cell r="H138">
            <v>30636</v>
          </cell>
          <cell r="I138">
            <v>0</v>
          </cell>
        </row>
        <row r="139">
          <cell r="A139">
            <v>10694157</v>
          </cell>
          <cell r="B139" t="str">
            <v>SANY</v>
          </cell>
          <cell r="C139" t="str">
            <v>SRT95C</v>
          </cell>
          <cell r="D139" t="str">
            <v>Outlet Asbestos Pad</v>
          </cell>
          <cell r="E139">
            <v>4</v>
          </cell>
          <cell r="F139" t="str">
            <v>Insidentil</v>
          </cell>
          <cell r="G139" t="str">
            <v>Paking asbes outlet</v>
          </cell>
          <cell r="H139">
            <v>145188</v>
          </cell>
          <cell r="I139">
            <v>0</v>
          </cell>
        </row>
        <row r="140">
          <cell r="A140" t="str">
            <v>A230101000655</v>
          </cell>
          <cell r="B140" t="str">
            <v>SANY</v>
          </cell>
          <cell r="C140" t="str">
            <v>SRT95C</v>
          </cell>
          <cell r="D140" t="str">
            <v>D Oil Seal</v>
          </cell>
          <cell r="E140">
            <v>1</v>
          </cell>
          <cell r="F140" t="str">
            <v>Insidentil</v>
          </cell>
          <cell r="G140" t="str">
            <v>Oil seal rem</v>
          </cell>
          <cell r="H140">
            <v>1076256</v>
          </cell>
          <cell r="I140">
            <v>11</v>
          </cell>
        </row>
        <row r="141">
          <cell r="A141" t="str">
            <v>A230101000654</v>
          </cell>
          <cell r="B141" t="str">
            <v>SANY</v>
          </cell>
          <cell r="C141" t="str">
            <v>SRT95C</v>
          </cell>
          <cell r="D141" t="str">
            <v>D Oil Seal</v>
          </cell>
          <cell r="E141">
            <v>1</v>
          </cell>
          <cell r="F141" t="str">
            <v>Insidentil</v>
          </cell>
          <cell r="G141" t="str">
            <v>Oil seal rem</v>
          </cell>
          <cell r="H141">
            <v>1029636</v>
          </cell>
          <cell r="I141">
            <v>23</v>
          </cell>
        </row>
        <row r="142">
          <cell r="A142" t="str">
            <v>A242200000057</v>
          </cell>
          <cell r="B142" t="str">
            <v>SANY</v>
          </cell>
          <cell r="C142" t="str">
            <v>SRT95C</v>
          </cell>
          <cell r="D142" t="str">
            <v>Acid Storage Battery</v>
          </cell>
          <cell r="E142">
            <v>4</v>
          </cell>
          <cell r="F142" t="str">
            <v>2000 Jam</v>
          </cell>
          <cell r="G142" t="str">
            <v>Baterai</v>
          </cell>
          <cell r="H142">
            <v>2396268</v>
          </cell>
          <cell r="I142">
            <v>0</v>
          </cell>
        </row>
        <row r="143">
          <cell r="A143">
            <v>60123367</v>
          </cell>
          <cell r="B143" t="str">
            <v>SANY</v>
          </cell>
          <cell r="C143" t="str">
            <v>SRT95C</v>
          </cell>
          <cell r="D143" t="str">
            <v>Pressure Switch</v>
          </cell>
          <cell r="E143">
            <v>1</v>
          </cell>
          <cell r="F143" t="str">
            <v>Insidentil</v>
          </cell>
          <cell r="G143" t="str">
            <v>Saklar tekanan</v>
          </cell>
          <cell r="H143">
            <v>1358640</v>
          </cell>
          <cell r="I143">
            <v>18</v>
          </cell>
        </row>
        <row r="144">
          <cell r="A144">
            <v>60190385</v>
          </cell>
          <cell r="B144" t="str">
            <v>SANY</v>
          </cell>
          <cell r="C144" t="str">
            <v>SRT95C</v>
          </cell>
          <cell r="D144" t="str">
            <v>Pressure Sensor</v>
          </cell>
          <cell r="E144">
            <v>4</v>
          </cell>
          <cell r="F144" t="str">
            <v>Insidentil</v>
          </cell>
          <cell r="G144" t="str">
            <v>Sensor tekanan</v>
          </cell>
          <cell r="H144">
            <v>4281048</v>
          </cell>
          <cell r="I144">
            <v>49</v>
          </cell>
        </row>
        <row r="145">
          <cell r="A145">
            <v>60227740</v>
          </cell>
          <cell r="B145" t="str">
            <v>SANY</v>
          </cell>
          <cell r="C145" t="str">
            <v>SRT95C</v>
          </cell>
          <cell r="D145" t="str">
            <v>Temperature Sensor</v>
          </cell>
          <cell r="E145">
            <v>1</v>
          </cell>
          <cell r="F145" t="str">
            <v>Insidentil</v>
          </cell>
          <cell r="G145" t="str">
            <v>Sensor suhu</v>
          </cell>
          <cell r="H145">
            <v>2406924</v>
          </cell>
          <cell r="I145">
            <v>5</v>
          </cell>
        </row>
        <row r="146">
          <cell r="A146">
            <v>60148917</v>
          </cell>
          <cell r="B146" t="str">
            <v>SANY</v>
          </cell>
          <cell r="C146" t="str">
            <v>SRT95C</v>
          </cell>
          <cell r="D146" t="str">
            <v>Temperature Sensor</v>
          </cell>
          <cell r="E146">
            <v>2</v>
          </cell>
          <cell r="F146" t="str">
            <v>Insidentil</v>
          </cell>
          <cell r="G146" t="str">
            <v>Sensor suhu</v>
          </cell>
          <cell r="H146">
            <v>2509488</v>
          </cell>
          <cell r="I146">
            <v>0</v>
          </cell>
        </row>
        <row r="147">
          <cell r="A147">
            <v>60136920</v>
          </cell>
          <cell r="B147" t="str">
            <v>SANY</v>
          </cell>
          <cell r="C147" t="str">
            <v>SRT95C</v>
          </cell>
          <cell r="D147" t="str">
            <v>Lubricating Pump</v>
          </cell>
          <cell r="E147">
            <v>1</v>
          </cell>
          <cell r="F147" t="str">
            <v>Insidentil</v>
          </cell>
          <cell r="G147" t="str">
            <v>Pompa pelumasan</v>
          </cell>
          <cell r="H147">
            <v>37698264</v>
          </cell>
          <cell r="I147">
            <v>21</v>
          </cell>
        </row>
        <row r="148">
          <cell r="A148">
            <v>60050056</v>
          </cell>
          <cell r="B148" t="str">
            <v>SANY</v>
          </cell>
          <cell r="C148" t="str">
            <v>SRT95C</v>
          </cell>
          <cell r="D148" t="str">
            <v>Distributor</v>
          </cell>
          <cell r="E148">
            <v>2</v>
          </cell>
          <cell r="F148" t="str">
            <v>1000 Jam</v>
          </cell>
          <cell r="G148" t="str">
            <v>Distributor pelumasan</v>
          </cell>
          <cell r="H148">
            <v>4983012</v>
          </cell>
          <cell r="I148">
            <v>0</v>
          </cell>
        </row>
        <row r="149">
          <cell r="A149">
            <v>60001271</v>
          </cell>
          <cell r="B149" t="str">
            <v>SANY</v>
          </cell>
          <cell r="C149" t="str">
            <v>SRT95C</v>
          </cell>
          <cell r="D149" t="str">
            <v>Brake</v>
          </cell>
          <cell r="E149">
            <v>1</v>
          </cell>
          <cell r="F149" t="str">
            <v>Insidentil</v>
          </cell>
          <cell r="G149" t="str">
            <v>Brake assy depan</v>
          </cell>
          <cell r="H149">
            <v>80568684</v>
          </cell>
          <cell r="I149">
            <v>0</v>
          </cell>
        </row>
        <row r="150">
          <cell r="A150">
            <v>11602618</v>
          </cell>
          <cell r="B150" t="str">
            <v>SANY</v>
          </cell>
          <cell r="C150" t="str">
            <v>SRT95C</v>
          </cell>
          <cell r="D150" t="str">
            <v>Brake Disc</v>
          </cell>
          <cell r="E150">
            <v>1</v>
          </cell>
          <cell r="F150" t="str">
            <v>Insidentil</v>
          </cell>
          <cell r="G150" t="str">
            <v>Cakram rem depan</v>
          </cell>
          <cell r="H150">
            <v>17009640</v>
          </cell>
          <cell r="I150">
            <v>6</v>
          </cell>
        </row>
        <row r="151">
          <cell r="A151">
            <v>60004470</v>
          </cell>
          <cell r="B151" t="str">
            <v>SANY</v>
          </cell>
          <cell r="C151" t="str">
            <v>SRT95C</v>
          </cell>
          <cell r="D151" t="str">
            <v>Lining Component</v>
          </cell>
          <cell r="E151">
            <v>2</v>
          </cell>
          <cell r="F151" t="str">
            <v>Insidentil</v>
          </cell>
          <cell r="G151" t="str">
            <v>Kampas rem</v>
          </cell>
          <cell r="H151">
            <v>7761564.0000000009</v>
          </cell>
          <cell r="I151">
            <v>10</v>
          </cell>
        </row>
        <row r="152">
          <cell r="A152">
            <v>60004471</v>
          </cell>
          <cell r="B152" t="str">
            <v>SANY</v>
          </cell>
          <cell r="C152" t="str">
            <v>SRT95C</v>
          </cell>
          <cell r="D152" t="str">
            <v>Seal Kit</v>
          </cell>
          <cell r="E152">
            <v>1</v>
          </cell>
          <cell r="F152" t="str">
            <v>Insidentil</v>
          </cell>
          <cell r="G152" t="str">
            <v>Seal kit brake</v>
          </cell>
          <cell r="H152">
            <v>4668660</v>
          </cell>
          <cell r="I152">
            <v>2</v>
          </cell>
        </row>
        <row r="153">
          <cell r="A153">
            <v>10252432</v>
          </cell>
          <cell r="B153" t="str">
            <v>SANY</v>
          </cell>
          <cell r="C153" t="str">
            <v>SRT95C</v>
          </cell>
          <cell r="D153" t="str">
            <v>Alarm System of Tail Lamp Light</v>
          </cell>
          <cell r="E153">
            <v>1</v>
          </cell>
          <cell r="F153" t="str">
            <v>Insidentil</v>
          </cell>
          <cell r="G153" t="str">
            <v>Lampu belakang</v>
          </cell>
          <cell r="H153">
            <v>14229756</v>
          </cell>
          <cell r="I153">
            <v>0</v>
          </cell>
        </row>
        <row r="154">
          <cell r="A154">
            <v>60001291</v>
          </cell>
          <cell r="B154" t="str">
            <v>SANY</v>
          </cell>
          <cell r="C154" t="str">
            <v>SRT95C</v>
          </cell>
          <cell r="D154" t="str">
            <v>Deluxe Safety Hammer</v>
          </cell>
          <cell r="E154">
            <v>1</v>
          </cell>
          <cell r="F154" t="str">
            <v>Check Berkala</v>
          </cell>
          <cell r="G154" t="str">
            <v>Palu keselamatan</v>
          </cell>
          <cell r="H154">
            <v>170496</v>
          </cell>
          <cell r="I154">
            <v>0</v>
          </cell>
        </row>
        <row r="155">
          <cell r="A155">
            <v>60004632</v>
          </cell>
          <cell r="B155" t="str">
            <v>SANY</v>
          </cell>
          <cell r="C155" t="str">
            <v>SRT95C</v>
          </cell>
          <cell r="D155" t="str">
            <v>Expansion Tank</v>
          </cell>
          <cell r="E155">
            <v>1</v>
          </cell>
          <cell r="F155" t="str">
            <v>Insidentil</v>
          </cell>
          <cell r="G155" t="str">
            <v>Tangki ekspansi</v>
          </cell>
          <cell r="H155">
            <v>9177480</v>
          </cell>
          <cell r="I155">
            <v>0</v>
          </cell>
        </row>
        <row r="156">
          <cell r="A156">
            <v>60221141</v>
          </cell>
          <cell r="B156" t="str">
            <v>SANY</v>
          </cell>
          <cell r="C156" t="str">
            <v>SRT95C</v>
          </cell>
          <cell r="D156" t="str">
            <v>Radiator</v>
          </cell>
          <cell r="E156">
            <v>1</v>
          </cell>
          <cell r="F156" t="str">
            <v>Insidentil</v>
          </cell>
          <cell r="G156" t="str">
            <v>Radiator utama</v>
          </cell>
          <cell r="I156">
            <v>1</v>
          </cell>
        </row>
        <row r="157">
          <cell r="A157" t="str">
            <v>160101120038A</v>
          </cell>
          <cell r="B157" t="str">
            <v>SANY</v>
          </cell>
          <cell r="C157" t="str">
            <v>SYZ326</v>
          </cell>
          <cell r="D157" t="str">
            <v>Engine</v>
          </cell>
          <cell r="E157">
            <v>1</v>
          </cell>
          <cell r="F157" t="str">
            <v>Insidentil</v>
          </cell>
          <cell r="G157" t="str">
            <v>Engine assy (overhaul)</v>
          </cell>
          <cell r="H157">
            <v>546671448</v>
          </cell>
          <cell r="I157">
            <v>0</v>
          </cell>
        </row>
        <row r="158">
          <cell r="A158">
            <v>60344882</v>
          </cell>
          <cell r="B158" t="str">
            <v>SANY</v>
          </cell>
          <cell r="C158" t="str">
            <v>SYZ326</v>
          </cell>
          <cell r="D158" t="str">
            <v>Clutch Booster</v>
          </cell>
          <cell r="E158">
            <v>1</v>
          </cell>
          <cell r="F158" t="str">
            <v>Insidentil</v>
          </cell>
          <cell r="G158" t="str">
            <v>Booster kopling</v>
          </cell>
          <cell r="H158">
            <v>1534464</v>
          </cell>
          <cell r="I158">
            <v>9</v>
          </cell>
        </row>
        <row r="159">
          <cell r="A159">
            <v>60014833</v>
          </cell>
          <cell r="B159" t="str">
            <v>SANY</v>
          </cell>
          <cell r="C159" t="str">
            <v>SYZ326</v>
          </cell>
          <cell r="D159" t="str">
            <v>Clutch Release Bearing</v>
          </cell>
          <cell r="E159">
            <v>1</v>
          </cell>
          <cell r="F159" t="str">
            <v>500 Jam</v>
          </cell>
          <cell r="G159" t="str">
            <v>Bearing release kopling</v>
          </cell>
          <cell r="H159">
            <v>1216116</v>
          </cell>
          <cell r="I159">
            <v>0</v>
          </cell>
        </row>
        <row r="160">
          <cell r="A160">
            <v>61009979</v>
          </cell>
          <cell r="B160" t="str">
            <v>SANY</v>
          </cell>
          <cell r="C160" t="str">
            <v>SYZ326</v>
          </cell>
          <cell r="D160" t="str">
            <v>Clutch Driven Disc Assembly</v>
          </cell>
          <cell r="E160">
            <v>1</v>
          </cell>
          <cell r="F160" t="str">
            <v>1000 Jam</v>
          </cell>
          <cell r="G160" t="str">
            <v>Kampas kopling</v>
          </cell>
          <cell r="H160">
            <v>3375288</v>
          </cell>
          <cell r="I160">
            <v>37</v>
          </cell>
        </row>
        <row r="161">
          <cell r="A161">
            <v>61009978</v>
          </cell>
          <cell r="B161" t="str">
            <v>SANY</v>
          </cell>
          <cell r="C161" t="str">
            <v>SYZ326</v>
          </cell>
          <cell r="D161" t="str">
            <v>Clutch Pressure Disc Assembly</v>
          </cell>
          <cell r="E161">
            <v>1</v>
          </cell>
          <cell r="F161" t="str">
            <v>1000 Jam</v>
          </cell>
          <cell r="G161" t="str">
            <v>Plat penekan kopling</v>
          </cell>
          <cell r="H161">
            <v>5074920</v>
          </cell>
          <cell r="I161">
            <v>26</v>
          </cell>
        </row>
        <row r="162">
          <cell r="A162" t="str">
            <v>160602010079A</v>
          </cell>
          <cell r="B162" t="str">
            <v>SANY</v>
          </cell>
          <cell r="C162" t="str">
            <v>SYZ326</v>
          </cell>
          <cell r="D162" t="str">
            <v>Air Filter</v>
          </cell>
          <cell r="E162">
            <v>1</v>
          </cell>
          <cell r="F162" t="str">
            <v>250 Jam</v>
          </cell>
          <cell r="G162" t="str">
            <v>Filter udara utama</v>
          </cell>
          <cell r="H162">
            <v>5502492</v>
          </cell>
          <cell r="I162">
            <v>0</v>
          </cell>
        </row>
        <row r="163">
          <cell r="A163" t="str">
            <v>160602010079A001</v>
          </cell>
          <cell r="B163" t="str">
            <v>SANY</v>
          </cell>
          <cell r="C163" t="str">
            <v>SYZ326</v>
          </cell>
          <cell r="D163" t="str">
            <v>Filter Assembly</v>
          </cell>
          <cell r="E163">
            <v>1</v>
          </cell>
          <cell r="F163" t="str">
            <v>250 Jam</v>
          </cell>
          <cell r="G163" t="str">
            <v>Elemen filter udara</v>
          </cell>
          <cell r="H163">
            <v>1157508</v>
          </cell>
          <cell r="I163">
            <v>0</v>
          </cell>
        </row>
        <row r="164">
          <cell r="A164" t="str">
            <v>160699000140A</v>
          </cell>
          <cell r="B164" t="str">
            <v>SANY</v>
          </cell>
          <cell r="C164" t="str">
            <v>SYZ326</v>
          </cell>
          <cell r="D164" t="str">
            <v>Dust Discharge Valve</v>
          </cell>
          <cell r="E164">
            <v>2</v>
          </cell>
          <cell r="F164" t="str">
            <v>500 Jam</v>
          </cell>
          <cell r="G164" t="str">
            <v>Katup pembuang debu filter udara</v>
          </cell>
          <cell r="H164">
            <v>57276.000000000007</v>
          </cell>
          <cell r="I164">
            <v>0</v>
          </cell>
        </row>
        <row r="165">
          <cell r="A165">
            <v>60341045</v>
          </cell>
          <cell r="B165" t="str">
            <v>SANY</v>
          </cell>
          <cell r="C165" t="str">
            <v>SYZ326</v>
          </cell>
          <cell r="D165" t="str">
            <v>Liquid Level Sensor</v>
          </cell>
          <cell r="E165">
            <v>1</v>
          </cell>
          <cell r="F165" t="str">
            <v>Insidentil</v>
          </cell>
          <cell r="G165" t="str">
            <v>Sensor level bahan bakar</v>
          </cell>
          <cell r="H165">
            <v>1625040</v>
          </cell>
          <cell r="I165">
            <v>0</v>
          </cell>
        </row>
        <row r="166">
          <cell r="A166">
            <v>60006349</v>
          </cell>
          <cell r="B166" t="str">
            <v>SANY</v>
          </cell>
          <cell r="C166" t="str">
            <v>SYZ326</v>
          </cell>
          <cell r="D166" t="str">
            <v>Tank Assembly</v>
          </cell>
          <cell r="E166">
            <v>1</v>
          </cell>
          <cell r="F166" t="str">
            <v>Insidentil</v>
          </cell>
          <cell r="G166" t="str">
            <v>Tangki bahan bakar</v>
          </cell>
          <cell r="H166">
            <v>7271388.0000000009</v>
          </cell>
          <cell r="I166">
            <v>6</v>
          </cell>
        </row>
        <row r="167">
          <cell r="A167">
            <v>60022614</v>
          </cell>
          <cell r="B167" t="str">
            <v>SANY</v>
          </cell>
          <cell r="C167" t="str">
            <v>SYZ326</v>
          </cell>
          <cell r="D167" t="str">
            <v>Oil Tank Cover</v>
          </cell>
          <cell r="E167">
            <v>1</v>
          </cell>
          <cell r="F167" t="str">
            <v>Insidentil</v>
          </cell>
          <cell r="G167" t="str">
            <v>Tutup tangki bahan bakar</v>
          </cell>
          <cell r="H167">
            <v>321012</v>
          </cell>
          <cell r="I167">
            <v>0</v>
          </cell>
        </row>
        <row r="168">
          <cell r="A168">
            <v>60022607</v>
          </cell>
          <cell r="B168" t="str">
            <v>SANY</v>
          </cell>
          <cell r="C168" t="str">
            <v>SYZ326</v>
          </cell>
          <cell r="D168" t="str">
            <v>Strainer</v>
          </cell>
          <cell r="E168">
            <v>1</v>
          </cell>
          <cell r="F168" t="str">
            <v>250 Jam</v>
          </cell>
          <cell r="G168" t="str">
            <v>Saringan pengisian bahan bakar</v>
          </cell>
          <cell r="H168">
            <v>101232</v>
          </cell>
          <cell r="I168">
            <v>102</v>
          </cell>
        </row>
        <row r="169">
          <cell r="A169" t="str">
            <v>920050900006A</v>
          </cell>
          <cell r="B169" t="str">
            <v>SANY</v>
          </cell>
          <cell r="C169" t="str">
            <v>SYZ326</v>
          </cell>
          <cell r="D169" t="str">
            <v>Cooling Module</v>
          </cell>
          <cell r="E169">
            <v>1</v>
          </cell>
          <cell r="F169" t="str">
            <v>Insidentil</v>
          </cell>
          <cell r="G169" t="str">
            <v>Radiator + intercooler</v>
          </cell>
          <cell r="H169">
            <v>15035616</v>
          </cell>
          <cell r="I169">
            <v>0</v>
          </cell>
        </row>
        <row r="170">
          <cell r="A170" t="str">
            <v>160801990032A</v>
          </cell>
          <cell r="B170" t="str">
            <v>SANY</v>
          </cell>
          <cell r="C170" t="str">
            <v>SYZ326, SYZ440</v>
          </cell>
          <cell r="D170" t="str">
            <v>Fly Net</v>
          </cell>
          <cell r="E170">
            <v>1</v>
          </cell>
          <cell r="F170" t="str">
            <v>250 Jam (bersihkan)</v>
          </cell>
          <cell r="G170" t="str">
            <v>Kawat kasa radiator</v>
          </cell>
          <cell r="H170">
            <v>249084</v>
          </cell>
          <cell r="I170">
            <v>0</v>
          </cell>
        </row>
        <row r="171">
          <cell r="A171" t="str">
            <v>A229900005647</v>
          </cell>
          <cell r="B171" t="str">
            <v>SANY</v>
          </cell>
          <cell r="C171" t="str">
            <v>SYZ326</v>
          </cell>
          <cell r="D171" t="str">
            <v>Plastic Auxiliary Water Tank Assembly</v>
          </cell>
          <cell r="E171">
            <v>1</v>
          </cell>
          <cell r="F171" t="str">
            <v>Insidentil</v>
          </cell>
          <cell r="G171" t="str">
            <v>Tangki ekspansi</v>
          </cell>
          <cell r="H171">
            <v>366300</v>
          </cell>
          <cell r="I171">
            <v>36</v>
          </cell>
        </row>
        <row r="172">
          <cell r="A172">
            <v>10943554</v>
          </cell>
          <cell r="B172" t="str">
            <v>SANY</v>
          </cell>
          <cell r="C172" t="str">
            <v>SYZ326</v>
          </cell>
          <cell r="D172" t="str">
            <v>Intercooler Hose</v>
          </cell>
          <cell r="E172">
            <v>2</v>
          </cell>
          <cell r="F172" t="str">
            <v>Insidentil</v>
          </cell>
          <cell r="G172" t="str">
            <v>Selang intercooler</v>
          </cell>
          <cell r="H172">
            <v>230436</v>
          </cell>
          <cell r="I172">
            <v>0</v>
          </cell>
        </row>
        <row r="173">
          <cell r="A173" t="str">
            <v>A820606030928</v>
          </cell>
          <cell r="B173" t="str">
            <v>SANY</v>
          </cell>
          <cell r="C173" t="str">
            <v>SYZ326</v>
          </cell>
          <cell r="D173" t="str">
            <v>Intercooler Hose</v>
          </cell>
          <cell r="E173">
            <v>1</v>
          </cell>
          <cell r="F173" t="str">
            <v>Insidentil</v>
          </cell>
          <cell r="G173" t="str">
            <v>Selang intercooler</v>
          </cell>
          <cell r="H173">
            <v>338328</v>
          </cell>
          <cell r="I173">
            <v>0</v>
          </cell>
        </row>
        <row r="174">
          <cell r="A174" t="str">
            <v>A820606010981</v>
          </cell>
          <cell r="B174" t="str">
            <v>SANY</v>
          </cell>
          <cell r="C174" t="str">
            <v>SYZ326, SYZ440</v>
          </cell>
          <cell r="D174" t="str">
            <v>Air Removing Pipe of Radiator</v>
          </cell>
          <cell r="E174">
            <v>1</v>
          </cell>
          <cell r="F174" t="str">
            <v>Insidentil</v>
          </cell>
          <cell r="G174" t="str">
            <v>Selang pembuangan udara radiator</v>
          </cell>
          <cell r="H174">
            <v>78588</v>
          </cell>
          <cell r="I174">
            <v>11</v>
          </cell>
        </row>
        <row r="175">
          <cell r="A175" t="str">
            <v>130201000131A</v>
          </cell>
          <cell r="B175" t="str">
            <v>SANY</v>
          </cell>
          <cell r="C175" t="str">
            <v>SYZ326</v>
          </cell>
          <cell r="D175" t="str">
            <v>Transmission</v>
          </cell>
          <cell r="E175">
            <v>1</v>
          </cell>
          <cell r="F175" t="str">
            <v>Insidentil</v>
          </cell>
          <cell r="G175" t="str">
            <v>Transmisi assy</v>
          </cell>
          <cell r="H175">
            <v>122738472</v>
          </cell>
          <cell r="I175">
            <v>0</v>
          </cell>
        </row>
        <row r="176">
          <cell r="A176">
            <v>60104310</v>
          </cell>
          <cell r="B176" t="str">
            <v>SANY</v>
          </cell>
          <cell r="C176" t="str">
            <v>SYZ326, SYZ440</v>
          </cell>
          <cell r="D176" t="str">
            <v>Bearing</v>
          </cell>
          <cell r="E176">
            <v>1</v>
          </cell>
          <cell r="F176" t="str">
            <v>1000 Jam</v>
          </cell>
          <cell r="G176" t="str">
            <v>Bearing transmisi</v>
          </cell>
          <cell r="H176">
            <v>432900.00000000012</v>
          </cell>
          <cell r="I176">
            <v>0</v>
          </cell>
        </row>
        <row r="177">
          <cell r="A177">
            <v>60075230</v>
          </cell>
          <cell r="B177" t="str">
            <v>SANY</v>
          </cell>
          <cell r="C177" t="str">
            <v>SYZ326, SYZ440</v>
          </cell>
          <cell r="D177" t="str">
            <v>Magnet</v>
          </cell>
          <cell r="E177">
            <v>3</v>
          </cell>
          <cell r="F177" t="str">
            <v>1000 Jam (bersihkan)</v>
          </cell>
          <cell r="G177" t="str">
            <v>Magnet sump transmisi</v>
          </cell>
          <cell r="H177">
            <v>7992.0000000000009</v>
          </cell>
          <cell r="I177">
            <v>0</v>
          </cell>
        </row>
        <row r="178">
          <cell r="A178">
            <v>60122635</v>
          </cell>
          <cell r="B178" t="str">
            <v>SANY</v>
          </cell>
          <cell r="C178" t="str">
            <v>SYZ326</v>
          </cell>
          <cell r="D178" t="str">
            <v>Bolt, Hexagon Head</v>
          </cell>
          <cell r="E178">
            <v>4</v>
          </cell>
          <cell r="F178" t="str">
            <v>Check berkala</v>
          </cell>
          <cell r="G178" t="str">
            <v>Baut penahan kopling</v>
          </cell>
          <cell r="H178">
            <v>18648</v>
          </cell>
          <cell r="I178">
            <v>0</v>
          </cell>
        </row>
        <row r="179">
          <cell r="A179" t="str">
            <v>131402010050A015</v>
          </cell>
          <cell r="B179" t="str">
            <v>SANY</v>
          </cell>
          <cell r="C179" t="str">
            <v>SYZ326</v>
          </cell>
          <cell r="D179" t="str">
            <v>Brake drum</v>
          </cell>
          <cell r="E179">
            <v>2</v>
          </cell>
          <cell r="F179" t="str">
            <v>Insidentil</v>
          </cell>
          <cell r="G179" t="str">
            <v>Tromol rem depan</v>
          </cell>
          <cell r="H179">
            <v>2802528</v>
          </cell>
          <cell r="I179">
            <v>25</v>
          </cell>
        </row>
        <row r="180">
          <cell r="A180" t="str">
            <v>131402010260A011</v>
          </cell>
          <cell r="B180" t="str">
            <v>SANY</v>
          </cell>
          <cell r="C180" t="str">
            <v>SYZ326</v>
          </cell>
          <cell r="D180" t="str">
            <v>upper brake lining</v>
          </cell>
          <cell r="E180">
            <v>4</v>
          </cell>
          <cell r="F180" t="str">
            <v>500 Jam</v>
          </cell>
          <cell r="G180" t="str">
            <v>Kampas rem atas</v>
          </cell>
          <cell r="H180">
            <v>126540</v>
          </cell>
          <cell r="I180">
            <v>377</v>
          </cell>
        </row>
        <row r="181">
          <cell r="A181" t="str">
            <v>131488000229A</v>
          </cell>
          <cell r="B181" t="str">
            <v>SANY</v>
          </cell>
          <cell r="C181" t="str">
            <v>SYZ326</v>
          </cell>
          <cell r="D181" t="str">
            <v>Lower brake friction plate</v>
          </cell>
          <cell r="E181">
            <v>4</v>
          </cell>
          <cell r="F181" t="str">
            <v>500 Jam</v>
          </cell>
          <cell r="G181" t="str">
            <v>Kampas rem bawah</v>
          </cell>
          <cell r="H181">
            <v>98568</v>
          </cell>
          <cell r="I181">
            <v>858</v>
          </cell>
        </row>
        <row r="182">
          <cell r="A182" t="str">
            <v>131402010260A010</v>
          </cell>
          <cell r="B182" t="str">
            <v>SANY</v>
          </cell>
          <cell r="C182" t="str">
            <v>SYZ326</v>
          </cell>
          <cell r="D182" t="str">
            <v>Brake shoe</v>
          </cell>
          <cell r="E182">
            <v>4</v>
          </cell>
          <cell r="F182" t="str">
            <v>1000 Jam</v>
          </cell>
          <cell r="G182" t="str">
            <v>Sepatu rem</v>
          </cell>
          <cell r="H182">
            <v>733932</v>
          </cell>
          <cell r="I182">
            <v>2</v>
          </cell>
        </row>
        <row r="183">
          <cell r="A183" t="str">
            <v>131402010260A013</v>
          </cell>
          <cell r="B183" t="str">
            <v>SANY</v>
          </cell>
          <cell r="C183" t="str">
            <v>SYZ326</v>
          </cell>
          <cell r="D183" t="str">
            <v>Return spring</v>
          </cell>
          <cell r="E183">
            <v>2</v>
          </cell>
          <cell r="F183" t="str">
            <v>1000 Jam</v>
          </cell>
          <cell r="G183" t="str">
            <v>Pegas balik rem</v>
          </cell>
          <cell r="H183">
            <v>34632</v>
          </cell>
          <cell r="I183">
            <v>0</v>
          </cell>
        </row>
        <row r="184">
          <cell r="A184">
            <v>60139656</v>
          </cell>
          <cell r="B184" t="str">
            <v>SANY</v>
          </cell>
          <cell r="C184" t="str">
            <v>SYZ326</v>
          </cell>
          <cell r="D184" t="str">
            <v>Bolt</v>
          </cell>
          <cell r="E184">
            <v>8</v>
          </cell>
          <cell r="F184" t="str">
            <v>Check berkala</v>
          </cell>
          <cell r="G184" t="str">
            <v>Baut tromol rem</v>
          </cell>
          <cell r="H184">
            <v>6660.0000000000009</v>
          </cell>
          <cell r="I184">
            <v>13</v>
          </cell>
        </row>
        <row r="185">
          <cell r="A185">
            <v>61023513</v>
          </cell>
          <cell r="B185" t="str">
            <v>SANY</v>
          </cell>
          <cell r="C185" t="str">
            <v>SYZ326</v>
          </cell>
          <cell r="D185" t="str">
            <v>Pressure Measuring Connector</v>
          </cell>
          <cell r="E185">
            <v>2</v>
          </cell>
          <cell r="F185" t="str">
            <v>Insidentil</v>
          </cell>
          <cell r="G185" t="str">
            <v>Konektor tekanan rem</v>
          </cell>
          <cell r="H185">
            <v>75924</v>
          </cell>
          <cell r="I185">
            <v>6</v>
          </cell>
        </row>
        <row r="186">
          <cell r="A186" t="str">
            <v>131402010260A</v>
          </cell>
          <cell r="B186" t="str">
            <v>SANY</v>
          </cell>
          <cell r="C186" t="str">
            <v>SYZ326</v>
          </cell>
          <cell r="D186" t="str">
            <v>front axle</v>
          </cell>
          <cell r="E186">
            <v>1</v>
          </cell>
          <cell r="F186" t="str">
            <v>Insidentil</v>
          </cell>
          <cell r="G186" t="str">
            <v>Gandar depan</v>
          </cell>
          <cell r="H186">
            <v>60170436.000000007</v>
          </cell>
          <cell r="I186">
            <v>0</v>
          </cell>
        </row>
        <row r="187">
          <cell r="A187" t="str">
            <v>131699000039A</v>
          </cell>
          <cell r="B187" t="str">
            <v>SANY</v>
          </cell>
          <cell r="C187" t="str">
            <v>SYZ326, SYZ440</v>
          </cell>
          <cell r="D187" t="str">
            <v>Front Steel Plate Spring Assembly</v>
          </cell>
          <cell r="E187">
            <v>2</v>
          </cell>
          <cell r="F187" t="str">
            <v>Insidentil</v>
          </cell>
          <cell r="G187" t="str">
            <v>Per daun depan</v>
          </cell>
          <cell r="H187">
            <v>9863460</v>
          </cell>
          <cell r="I187">
            <v>3</v>
          </cell>
        </row>
        <row r="188">
          <cell r="A188" t="str">
            <v>131699000040A</v>
          </cell>
          <cell r="B188" t="str">
            <v>SANY</v>
          </cell>
          <cell r="C188" t="str">
            <v>SYZ326, SYZ440</v>
          </cell>
          <cell r="D188" t="str">
            <v>Rear steel plate spring</v>
          </cell>
          <cell r="E188">
            <v>2</v>
          </cell>
          <cell r="F188" t="str">
            <v>Insidentil</v>
          </cell>
          <cell r="G188" t="str">
            <v>Per daun belakang</v>
          </cell>
          <cell r="H188">
            <v>13186800</v>
          </cell>
          <cell r="I188">
            <v>0</v>
          </cell>
        </row>
        <row r="189">
          <cell r="A189" t="str">
            <v>131501000005A</v>
          </cell>
          <cell r="B189" t="str">
            <v>SANY</v>
          </cell>
          <cell r="C189" t="str">
            <v>SYZ326, SYZ440</v>
          </cell>
          <cell r="D189" t="str">
            <v>Balance Shaft Assembly</v>
          </cell>
          <cell r="E189">
            <v>1</v>
          </cell>
          <cell r="F189" t="str">
            <v>Insidentil</v>
          </cell>
          <cell r="G189" t="str">
            <v>Poros keseimbangan</v>
          </cell>
          <cell r="H189">
            <v>27599040</v>
          </cell>
          <cell r="I189">
            <v>0</v>
          </cell>
        </row>
        <row r="190">
          <cell r="A190">
            <v>60025666</v>
          </cell>
          <cell r="B190" t="str">
            <v>SANY</v>
          </cell>
          <cell r="C190" t="str">
            <v>SYZ326, SYZ440</v>
          </cell>
          <cell r="D190" t="str">
            <v>Limit Block</v>
          </cell>
          <cell r="E190">
            <v>4</v>
          </cell>
          <cell r="F190" t="str">
            <v>Insidentil</v>
          </cell>
          <cell r="G190" t="str">
            <v>Bumper suspensi</v>
          </cell>
          <cell r="H190">
            <v>77256</v>
          </cell>
          <cell r="I190">
            <v>9</v>
          </cell>
        </row>
        <row r="191">
          <cell r="A191" t="str">
            <v>131699000039A012</v>
          </cell>
          <cell r="B191" t="str">
            <v>SANY</v>
          </cell>
          <cell r="C191" t="str">
            <v>SYZ326, SYZ440</v>
          </cell>
          <cell r="D191" t="str">
            <v>Bush</v>
          </cell>
          <cell r="E191">
            <v>2</v>
          </cell>
          <cell r="F191" t="str">
            <v>1000 Jam</v>
          </cell>
          <cell r="G191" t="str">
            <v>Bushing per daun</v>
          </cell>
          <cell r="H191">
            <v>45288</v>
          </cell>
          <cell r="I191">
            <v>0</v>
          </cell>
        </row>
        <row r="192">
          <cell r="A192" t="str">
            <v>139999000895A002</v>
          </cell>
          <cell r="B192" t="str">
            <v>SANY</v>
          </cell>
          <cell r="C192" t="str">
            <v>SYZ326, SYZ440</v>
          </cell>
          <cell r="D192" t="str">
            <v>Rubber Core Combination Of Thrust Rod</v>
          </cell>
          <cell r="E192">
            <v>2</v>
          </cell>
          <cell r="F192" t="str">
            <v>1000 Jam</v>
          </cell>
          <cell r="G192" t="str">
            <v>Karet batang dorong</v>
          </cell>
          <cell r="H192">
            <v>432900.00000000012</v>
          </cell>
          <cell r="I192">
            <v>11</v>
          </cell>
        </row>
        <row r="193">
          <cell r="A193">
            <v>60125993</v>
          </cell>
          <cell r="B193" t="str">
            <v>SANY</v>
          </cell>
          <cell r="C193" t="str">
            <v>SYZ326</v>
          </cell>
          <cell r="D193" t="str">
            <v>Nut</v>
          </cell>
          <cell r="E193">
            <v>1</v>
          </cell>
          <cell r="F193" t="str">
            <v>Check berkala</v>
          </cell>
          <cell r="G193" t="str">
            <v>Mur center bolt per</v>
          </cell>
          <cell r="H193">
            <v>5328</v>
          </cell>
          <cell r="I193">
            <v>9</v>
          </cell>
        </row>
        <row r="194">
          <cell r="A194" t="str">
            <v>150105010017B</v>
          </cell>
          <cell r="B194" t="str">
            <v>SANY</v>
          </cell>
          <cell r="C194" t="str">
            <v>SYZ326</v>
          </cell>
          <cell r="D194" t="str">
            <v>pump of steering</v>
          </cell>
          <cell r="E194">
            <v>1</v>
          </cell>
          <cell r="F194" t="str">
            <v>Insidentil</v>
          </cell>
          <cell r="G194" t="str">
            <v>Pompa power steering</v>
          </cell>
          <cell r="H194">
            <v>2429568</v>
          </cell>
          <cell r="I194">
            <v>2</v>
          </cell>
        </row>
        <row r="195">
          <cell r="A195">
            <v>61018543</v>
          </cell>
          <cell r="B195" t="str">
            <v>SANY</v>
          </cell>
          <cell r="C195" t="str">
            <v>SYZ326</v>
          </cell>
          <cell r="D195" t="str">
            <v>Power Steering Gear</v>
          </cell>
          <cell r="E195">
            <v>1</v>
          </cell>
          <cell r="F195" t="str">
            <v>Insidentil</v>
          </cell>
          <cell r="G195" t="str">
            <v>Gear power steering</v>
          </cell>
          <cell r="H195">
            <v>9699624</v>
          </cell>
          <cell r="I195">
            <v>4</v>
          </cell>
        </row>
        <row r="196">
          <cell r="A196">
            <v>10021812</v>
          </cell>
          <cell r="B196" t="str">
            <v>SANY</v>
          </cell>
          <cell r="C196" t="str">
            <v>SYZ326, SYZ440</v>
          </cell>
          <cell r="D196" t="str">
            <v>Power steering oil tank assem</v>
          </cell>
          <cell r="E196">
            <v>1</v>
          </cell>
          <cell r="F196" t="str">
            <v>Insidentil</v>
          </cell>
          <cell r="G196" t="str">
            <v>Tangki oli power steering</v>
          </cell>
          <cell r="H196">
            <v>821844.00000000012</v>
          </cell>
          <cell r="I196">
            <v>1</v>
          </cell>
        </row>
        <row r="197">
          <cell r="A197" t="str">
            <v>A222100000393</v>
          </cell>
          <cell r="B197" t="str">
            <v>SANY</v>
          </cell>
          <cell r="C197" t="str">
            <v>SYZ326, SYZ440</v>
          </cell>
          <cell r="D197" t="str">
            <v>Filter Core</v>
          </cell>
          <cell r="E197">
            <v>1</v>
          </cell>
          <cell r="F197" t="str">
            <v>500 Jam</v>
          </cell>
          <cell r="G197" t="str">
            <v>Elemen filter power steering</v>
          </cell>
          <cell r="H197">
            <v>46620</v>
          </cell>
          <cell r="I197">
            <v>0</v>
          </cell>
        </row>
        <row r="198">
          <cell r="A198">
            <v>60194020</v>
          </cell>
          <cell r="B198" t="str">
            <v>SANY</v>
          </cell>
          <cell r="C198" t="str">
            <v>SYZ326</v>
          </cell>
          <cell r="D198" t="str">
            <v>Clamp Sleeve</v>
          </cell>
          <cell r="E198">
            <v>1</v>
          </cell>
          <cell r="F198" t="str">
            <v>Insidentil</v>
          </cell>
          <cell r="G198" t="str">
            <v>Selang power steering</v>
          </cell>
          <cell r="H198">
            <v>6660.0000000000009</v>
          </cell>
          <cell r="I198">
            <v>45</v>
          </cell>
        </row>
        <row r="199">
          <cell r="A199">
            <v>60071633</v>
          </cell>
          <cell r="B199" t="str">
            <v>SANY</v>
          </cell>
          <cell r="C199" t="str">
            <v>SYZ326, SYZ440</v>
          </cell>
          <cell r="D199" t="str">
            <v>Acid Accumulator</v>
          </cell>
          <cell r="E199">
            <v>2</v>
          </cell>
          <cell r="F199" t="str">
            <v>2000 Jam</v>
          </cell>
          <cell r="G199" t="str">
            <v>Baterai</v>
          </cell>
          <cell r="H199">
            <v>3993336</v>
          </cell>
          <cell r="I199">
            <v>0</v>
          </cell>
        </row>
        <row r="200">
          <cell r="A200" t="str">
            <v>142507000007A</v>
          </cell>
          <cell r="B200" t="str">
            <v>SANY</v>
          </cell>
          <cell r="C200" t="str">
            <v>SYZ326, SYZ440</v>
          </cell>
          <cell r="D200" t="str">
            <v>Power Supply Master Switch</v>
          </cell>
          <cell r="E200">
            <v>1</v>
          </cell>
          <cell r="F200" t="str">
            <v>Insidentil</v>
          </cell>
          <cell r="G200" t="str">
            <v>Saklar utama</v>
          </cell>
          <cell r="H200">
            <v>298368</v>
          </cell>
          <cell r="I200">
            <v>0</v>
          </cell>
        </row>
        <row r="201">
          <cell r="A201">
            <v>61016718</v>
          </cell>
          <cell r="B201" t="str">
            <v>SANY</v>
          </cell>
          <cell r="C201" t="str">
            <v>SYZ326, SYZ440</v>
          </cell>
          <cell r="D201" t="str">
            <v>Day Line Lamp Relay</v>
          </cell>
          <cell r="E201">
            <v>1</v>
          </cell>
          <cell r="F201" t="str">
            <v>Insidentil</v>
          </cell>
          <cell r="G201" t="str">
            <v>Relay lampu</v>
          </cell>
          <cell r="H201">
            <v>213120</v>
          </cell>
          <cell r="I201">
            <v>2</v>
          </cell>
        </row>
        <row r="202">
          <cell r="A202">
            <v>60286048</v>
          </cell>
          <cell r="B202" t="str">
            <v>SANY</v>
          </cell>
          <cell r="C202" t="str">
            <v>SYZ326, SYZ440</v>
          </cell>
          <cell r="D202" t="str">
            <v>Fusible Cutout</v>
          </cell>
          <cell r="E202">
            <v>1</v>
          </cell>
          <cell r="F202" t="str">
            <v>Insidentil</v>
          </cell>
          <cell r="G202" t="str">
            <v>Fusible link</v>
          </cell>
          <cell r="H202">
            <v>424908.00000000012</v>
          </cell>
          <cell r="I202">
            <v>0</v>
          </cell>
        </row>
        <row r="203">
          <cell r="A203" t="str">
            <v>A240500000097</v>
          </cell>
          <cell r="B203" t="str">
            <v>SANY</v>
          </cell>
          <cell r="C203" t="str">
            <v>SYZ326, SYZ440</v>
          </cell>
          <cell r="D203" t="str">
            <v>Electric Horn Assembly</v>
          </cell>
          <cell r="E203">
            <v>1</v>
          </cell>
          <cell r="F203" t="str">
            <v>Insidentil</v>
          </cell>
          <cell r="G203" t="str">
            <v>Klakson</v>
          </cell>
          <cell r="H203">
            <v>114552</v>
          </cell>
          <cell r="I203">
            <v>3</v>
          </cell>
        </row>
        <row r="204">
          <cell r="A204">
            <v>60105071</v>
          </cell>
          <cell r="B204" t="str">
            <v>SANY</v>
          </cell>
          <cell r="C204" t="str">
            <v>SYZ326</v>
          </cell>
          <cell r="D204" t="str">
            <v>24V Cigarette Lighter</v>
          </cell>
          <cell r="E204">
            <v>1</v>
          </cell>
          <cell r="F204" t="str">
            <v>Insidentil</v>
          </cell>
          <cell r="G204" t="str">
            <v>Pemantik rokok (aksesoris)</v>
          </cell>
          <cell r="H204">
            <v>135864</v>
          </cell>
          <cell r="I204">
            <v>0</v>
          </cell>
        </row>
        <row r="205">
          <cell r="A205">
            <v>61006543</v>
          </cell>
          <cell r="B205" t="str">
            <v>SANY</v>
          </cell>
          <cell r="C205" t="str">
            <v>SYZ326, SYZ440</v>
          </cell>
          <cell r="D205" t="str">
            <v>Turnover Cylinder</v>
          </cell>
          <cell r="E205">
            <v>1</v>
          </cell>
          <cell r="F205" t="str">
            <v>Insidentil</v>
          </cell>
          <cell r="G205" t="str">
            <v>Silinder tipping kabin</v>
          </cell>
          <cell r="H205">
            <v>2085912</v>
          </cell>
          <cell r="I205">
            <v>7</v>
          </cell>
        </row>
        <row r="206">
          <cell r="A206">
            <v>60212907</v>
          </cell>
          <cell r="B206" t="str">
            <v>SANY</v>
          </cell>
          <cell r="C206" t="str">
            <v>SYZ326, SYZ440</v>
          </cell>
          <cell r="D206" t="str">
            <v>Hydraulic Lock</v>
          </cell>
          <cell r="E206">
            <v>2</v>
          </cell>
          <cell r="F206" t="str">
            <v>Insidentil</v>
          </cell>
          <cell r="G206" t="str">
            <v>Kunci hidrolik kabin</v>
          </cell>
          <cell r="H206">
            <v>474192.00000000012</v>
          </cell>
          <cell r="I206">
            <v>0</v>
          </cell>
        </row>
        <row r="207">
          <cell r="A207">
            <v>60213186</v>
          </cell>
          <cell r="B207" t="str">
            <v>SANY</v>
          </cell>
          <cell r="C207" t="str">
            <v>SYZ326, SYZ440</v>
          </cell>
          <cell r="D207" t="str">
            <v>Opening Plunger Pump</v>
          </cell>
          <cell r="E207">
            <v>1</v>
          </cell>
          <cell r="F207" t="str">
            <v>Insidentil</v>
          </cell>
          <cell r="G207" t="str">
            <v>Pompa plunger buka kabin</v>
          </cell>
          <cell r="H207">
            <v>1479852</v>
          </cell>
          <cell r="I207">
            <v>1</v>
          </cell>
        </row>
        <row r="208">
          <cell r="A208" t="str">
            <v>151099000093A</v>
          </cell>
          <cell r="B208" t="str">
            <v>SANY</v>
          </cell>
          <cell r="C208" t="str">
            <v>SYZ326, SYZ440</v>
          </cell>
          <cell r="D208" t="str">
            <v>Single Elbow Hose Assembly</v>
          </cell>
          <cell r="E208">
            <v>1</v>
          </cell>
          <cell r="F208" t="str">
            <v>500 Jam / bocor</v>
          </cell>
          <cell r="G208" t="str">
            <v>Selang hidrolik tipping</v>
          </cell>
          <cell r="H208">
            <v>111888</v>
          </cell>
          <cell r="I208">
            <v>0</v>
          </cell>
        </row>
        <row r="209">
          <cell r="A209" t="str">
            <v>151099000105A</v>
          </cell>
          <cell r="B209" t="str">
            <v>SANY</v>
          </cell>
          <cell r="C209" t="str">
            <v>SYZ326, SYZ440</v>
          </cell>
          <cell r="D209" t="str">
            <v>Hydraulic Lock Connection Hose</v>
          </cell>
          <cell r="E209">
            <v>2</v>
          </cell>
          <cell r="F209" t="str">
            <v>500 Jam / bocor</v>
          </cell>
          <cell r="G209" t="str">
            <v>Selang kunci hidrolik</v>
          </cell>
          <cell r="H209">
            <v>86580</v>
          </cell>
          <cell r="I209">
            <v>0</v>
          </cell>
        </row>
        <row r="210">
          <cell r="A210">
            <v>60084838</v>
          </cell>
          <cell r="B210" t="str">
            <v>SANY</v>
          </cell>
          <cell r="C210" t="str">
            <v>SYZ326</v>
          </cell>
          <cell r="D210" t="str">
            <v>Two Position and Three Way Electro Pneum</v>
          </cell>
          <cell r="E210">
            <v>1</v>
          </cell>
          <cell r="F210" t="str">
            <v>Insidentil</v>
          </cell>
          <cell r="G210" t="str">
            <v>Katup pneumatik</v>
          </cell>
          <cell r="H210">
            <v>1886112</v>
          </cell>
          <cell r="I210">
            <v>0</v>
          </cell>
        </row>
        <row r="211">
          <cell r="A211" t="str">
            <v>131402010050A009</v>
          </cell>
          <cell r="B211" t="str">
            <v>SANY</v>
          </cell>
          <cell r="C211" t="str">
            <v>SYZ326</v>
          </cell>
          <cell r="D211" t="str">
            <v>inner wheel hub oil seal assembly</v>
          </cell>
          <cell r="E211">
            <v>2</v>
          </cell>
          <cell r="F211" t="str">
            <v>1000 Jam</v>
          </cell>
          <cell r="G211" t="str">
            <v>Oil seal hub roda depan</v>
          </cell>
          <cell r="H211">
            <v>571428</v>
          </cell>
          <cell r="I211">
            <v>4</v>
          </cell>
        </row>
        <row r="212">
          <cell r="A212" t="str">
            <v>131402010050A008</v>
          </cell>
          <cell r="B212" t="str">
            <v>SANY</v>
          </cell>
          <cell r="C212" t="str">
            <v>SYZ326</v>
          </cell>
          <cell r="D212" t="str">
            <v>Oil Sealing Ring Seat Ring</v>
          </cell>
          <cell r="E212">
            <v>2</v>
          </cell>
          <cell r="F212" t="str">
            <v>1000 Jam</v>
          </cell>
          <cell r="G212" t="str">
            <v>Ring dudukan seal oli</v>
          </cell>
          <cell r="H212">
            <v>644688</v>
          </cell>
          <cell r="I212">
            <v>11</v>
          </cell>
        </row>
        <row r="213">
          <cell r="A213" t="str">
            <v>131402010050A017</v>
          </cell>
          <cell r="B213" t="str">
            <v>SANY</v>
          </cell>
          <cell r="C213" t="str">
            <v>SYZ326</v>
          </cell>
          <cell r="D213" t="str">
            <v>O Seal Ring - Oil Seal Seat Ring</v>
          </cell>
          <cell r="E213">
            <v>2</v>
          </cell>
          <cell r="F213" t="str">
            <v>1000 Jam</v>
          </cell>
          <cell r="G213" t="str">
            <v>O-ring seal</v>
          </cell>
          <cell r="H213">
            <v>6660.0000000000009</v>
          </cell>
          <cell r="I213">
            <v>20</v>
          </cell>
        </row>
        <row r="214">
          <cell r="A214" t="str">
            <v>131488000235A</v>
          </cell>
          <cell r="B214" t="str">
            <v>SANY</v>
          </cell>
          <cell r="C214" t="str">
            <v>SYZ326</v>
          </cell>
          <cell r="D214" t="str">
            <v>O Seal Ring - Camshaft</v>
          </cell>
          <cell r="E214">
            <v>4</v>
          </cell>
          <cell r="F214" t="str">
            <v>1000 Jam</v>
          </cell>
          <cell r="G214" t="str">
            <v>O-ring camshaft rem</v>
          </cell>
          <cell r="H214">
            <v>3996</v>
          </cell>
          <cell r="I214">
            <v>0</v>
          </cell>
        </row>
        <row r="215">
          <cell r="A215" t="str">
            <v>131402010260A007</v>
          </cell>
          <cell r="B215" t="str">
            <v>SANY</v>
          </cell>
          <cell r="C215" t="str">
            <v>SYZ326</v>
          </cell>
          <cell r="D215" t="str">
            <v>Seal plug</v>
          </cell>
          <cell r="E215">
            <v>4</v>
          </cell>
          <cell r="F215" t="str">
            <v>1000 Jam</v>
          </cell>
          <cell r="G215" t="str">
            <v>Plug seal</v>
          </cell>
          <cell r="H215">
            <v>3996</v>
          </cell>
          <cell r="I215">
            <v>3</v>
          </cell>
        </row>
        <row r="216">
          <cell r="A216">
            <v>60223450</v>
          </cell>
          <cell r="B216" t="str">
            <v>SANY</v>
          </cell>
          <cell r="C216" t="str">
            <v>SYZ326</v>
          </cell>
          <cell r="D216" t="str">
            <v>Sealing Elastic Gasket</v>
          </cell>
          <cell r="E216">
            <v>11</v>
          </cell>
          <cell r="F216" t="str">
            <v>1000 Jam</v>
          </cell>
          <cell r="G216" t="str">
            <v>Gasket elastis rem</v>
          </cell>
          <cell r="H216">
            <v>3996</v>
          </cell>
          <cell r="I216">
            <v>0</v>
          </cell>
        </row>
        <row r="217">
          <cell r="A217">
            <v>141502000017</v>
          </cell>
          <cell r="B217" t="str">
            <v>SANY</v>
          </cell>
          <cell r="C217" t="str">
            <v>SYZ326, SYZ440</v>
          </cell>
          <cell r="D217" t="str">
            <v>Fresh Air Filter Screen</v>
          </cell>
          <cell r="E217">
            <v>1</v>
          </cell>
          <cell r="F217" t="str">
            <v>250 Jam</v>
          </cell>
          <cell r="G217" t="str">
            <v>Saringan kabin (AC)</v>
          </cell>
          <cell r="H217">
            <v>195804</v>
          </cell>
          <cell r="I217">
            <v>515</v>
          </cell>
        </row>
        <row r="218">
          <cell r="A218">
            <v>141502000077</v>
          </cell>
          <cell r="B218" t="str">
            <v>SANY</v>
          </cell>
          <cell r="C218" t="str">
            <v>SYZ326, SYZ440</v>
          </cell>
          <cell r="D218" t="str">
            <v>Fresh Air Filter</v>
          </cell>
          <cell r="E218">
            <v>1</v>
          </cell>
          <cell r="F218" t="str">
            <v>250 Jam</v>
          </cell>
          <cell r="G218" t="str">
            <v>Filter kabin (AC)</v>
          </cell>
          <cell r="H218">
            <v>125208</v>
          </cell>
          <cell r="I218">
            <v>152</v>
          </cell>
        </row>
        <row r="219">
          <cell r="A219">
            <v>141502000076</v>
          </cell>
          <cell r="B219" t="str">
            <v>SANY</v>
          </cell>
          <cell r="C219" t="str">
            <v>SYZ326, SYZ440</v>
          </cell>
          <cell r="D219" t="str">
            <v>Desiccant</v>
          </cell>
          <cell r="E219">
            <v>1</v>
          </cell>
          <cell r="F219" t="str">
            <v>500 Jam</v>
          </cell>
          <cell r="G219" t="str">
            <v>Pengering AC</v>
          </cell>
          <cell r="H219">
            <v>142524</v>
          </cell>
          <cell r="I219">
            <v>11</v>
          </cell>
        </row>
        <row r="220">
          <cell r="A220">
            <v>60118238</v>
          </cell>
          <cell r="B220" t="str">
            <v>SANY</v>
          </cell>
          <cell r="C220" t="str">
            <v>SYZ326, SYZ440</v>
          </cell>
          <cell r="D220" t="str">
            <v>Scrubber assembly</v>
          </cell>
          <cell r="E220">
            <v>1</v>
          </cell>
          <cell r="F220" t="str">
            <v>Insidentil</v>
          </cell>
          <cell r="G220" t="str">
            <v>Motor washer kaca</v>
          </cell>
          <cell r="H220">
            <v>480852.00000000012</v>
          </cell>
          <cell r="I220">
            <v>3</v>
          </cell>
        </row>
        <row r="221">
          <cell r="A221">
            <v>13237479</v>
          </cell>
          <cell r="B221" t="str">
            <v>SANY</v>
          </cell>
          <cell r="C221" t="str">
            <v>SYZ326, SYZ440</v>
          </cell>
          <cell r="D221" t="str">
            <v>Wiper assembly</v>
          </cell>
          <cell r="E221">
            <v>1</v>
          </cell>
          <cell r="F221" t="str">
            <v>Insidentil</v>
          </cell>
          <cell r="G221" t="str">
            <v>Wiper motor + lengan</v>
          </cell>
          <cell r="H221">
            <v>5192136</v>
          </cell>
          <cell r="I221">
            <v>0</v>
          </cell>
        </row>
        <row r="222">
          <cell r="A222">
            <v>60118234</v>
          </cell>
          <cell r="B222" t="str">
            <v>SANY</v>
          </cell>
          <cell r="C222" t="str">
            <v>SYZ326, SYZ440</v>
          </cell>
          <cell r="D222" t="str">
            <v>Wiper Brush ASSY</v>
          </cell>
          <cell r="E222">
            <v>2</v>
          </cell>
          <cell r="F222" t="str">
            <v>6 bulan</v>
          </cell>
          <cell r="G222" t="str">
            <v>Rubber wiper kaca</v>
          </cell>
          <cell r="H222">
            <v>106560</v>
          </cell>
          <cell r="I222">
            <v>106</v>
          </cell>
        </row>
        <row r="223">
          <cell r="A223">
            <v>60236116</v>
          </cell>
          <cell r="B223" t="str">
            <v>SANY</v>
          </cell>
          <cell r="C223" t="str">
            <v>SYZ326, SYZ440</v>
          </cell>
          <cell r="D223" t="str">
            <v>Main Wiper Arm Assembly</v>
          </cell>
          <cell r="E223">
            <v>1</v>
          </cell>
          <cell r="F223" t="str">
            <v>Insidentil</v>
          </cell>
          <cell r="G223" t="str">
            <v>Lengan wiper utama</v>
          </cell>
          <cell r="H223">
            <v>646020</v>
          </cell>
          <cell r="I223">
            <v>0</v>
          </cell>
        </row>
        <row r="224">
          <cell r="A224">
            <v>60236117</v>
          </cell>
          <cell r="B224" t="str">
            <v>SANY</v>
          </cell>
          <cell r="C224" t="str">
            <v>SYZ326, SYZ440</v>
          </cell>
          <cell r="D224" t="str">
            <v>Auxiliary Wiper Arm Assembly</v>
          </cell>
          <cell r="E224">
            <v>1</v>
          </cell>
          <cell r="F224" t="str">
            <v>Insidentil</v>
          </cell>
          <cell r="G224" t="str">
            <v>Lengan wiper tambahan</v>
          </cell>
          <cell r="H224">
            <v>646020</v>
          </cell>
          <cell r="I224">
            <v>50</v>
          </cell>
        </row>
        <row r="225">
          <cell r="A225">
            <v>60001414</v>
          </cell>
          <cell r="B225" t="str">
            <v>SANY</v>
          </cell>
          <cell r="C225" t="str">
            <v>SYZ326, SYZ440</v>
          </cell>
          <cell r="D225" t="str">
            <v>Fire Extinguisher</v>
          </cell>
          <cell r="E225">
            <v>1</v>
          </cell>
          <cell r="F225" t="str">
            <v>Check berkala</v>
          </cell>
          <cell r="G225" t="str">
            <v>APAR</v>
          </cell>
          <cell r="H225">
            <v>282384</v>
          </cell>
          <cell r="I225">
            <v>2</v>
          </cell>
        </row>
        <row r="226">
          <cell r="A226">
            <v>11822273</v>
          </cell>
          <cell r="B226" t="str">
            <v>SANY</v>
          </cell>
          <cell r="C226" t="str">
            <v>SYZ326, SYZ440</v>
          </cell>
          <cell r="D226" t="str">
            <v>Assembly, fire extinguisher</v>
          </cell>
          <cell r="E226">
            <v>1</v>
          </cell>
          <cell r="F226" t="str">
            <v>Check berkala</v>
          </cell>
          <cell r="G226" t="str">
            <v>Braket APAR + APAR</v>
          </cell>
          <cell r="H226">
            <v>21312</v>
          </cell>
          <cell r="I226">
            <v>0</v>
          </cell>
        </row>
        <row r="227">
          <cell r="A227">
            <v>11033444</v>
          </cell>
          <cell r="B227" t="str">
            <v>SANY</v>
          </cell>
          <cell r="C227" t="str">
            <v>SYZ326</v>
          </cell>
          <cell r="D227" t="str">
            <v>Oil Intake Pipe</v>
          </cell>
          <cell r="E227">
            <v>1</v>
          </cell>
          <cell r="F227" t="str">
            <v>Insidentil</v>
          </cell>
          <cell r="G227" t="str">
            <v>Pipa hisap bahan bakar</v>
          </cell>
          <cell r="H227">
            <v>49284</v>
          </cell>
          <cell r="I227">
            <v>0</v>
          </cell>
        </row>
        <row r="228">
          <cell r="A228">
            <v>14467551</v>
          </cell>
          <cell r="B228" t="str">
            <v>SANY</v>
          </cell>
          <cell r="C228" t="str">
            <v>SYZ326</v>
          </cell>
          <cell r="D228" t="str">
            <v>Oil Outlet Tube of Oil Water Separator</v>
          </cell>
          <cell r="E228">
            <v>1</v>
          </cell>
          <cell r="F228" t="str">
            <v>Insidentil</v>
          </cell>
          <cell r="G228" t="str">
            <v>Pipa outlet water separator</v>
          </cell>
          <cell r="H228">
            <v>81252</v>
          </cell>
          <cell r="I228">
            <v>0</v>
          </cell>
        </row>
        <row r="229">
          <cell r="A229">
            <v>14467585</v>
          </cell>
          <cell r="B229" t="str">
            <v>SANY</v>
          </cell>
          <cell r="C229" t="str">
            <v>SYZ326</v>
          </cell>
          <cell r="D229" t="str">
            <v>Return Tube</v>
          </cell>
          <cell r="E229">
            <v>1</v>
          </cell>
          <cell r="F229" t="str">
            <v>Insidentil</v>
          </cell>
          <cell r="G229" t="str">
            <v>Pipa return bahan bakar</v>
          </cell>
          <cell r="H229">
            <v>98568</v>
          </cell>
          <cell r="I229">
            <v>0</v>
          </cell>
        </row>
        <row r="230">
          <cell r="A230" t="str">
            <v>160101100046A</v>
          </cell>
          <cell r="B230" t="str">
            <v>SANY</v>
          </cell>
          <cell r="C230" t="str">
            <v>SYZ440</v>
          </cell>
          <cell r="D230" t="str">
            <v>Engine</v>
          </cell>
          <cell r="E230">
            <v>1</v>
          </cell>
          <cell r="F230" t="str">
            <v>Insidentil</v>
          </cell>
          <cell r="G230" t="str">
            <v>Engine assy (overhaul)</v>
          </cell>
          <cell r="H230">
            <v>521467344.00000012</v>
          </cell>
          <cell r="I230">
            <v>2</v>
          </cell>
        </row>
        <row r="231">
          <cell r="A231">
            <v>60339514</v>
          </cell>
          <cell r="B231" t="str">
            <v>SANY</v>
          </cell>
          <cell r="C231" t="str">
            <v>SYZ440</v>
          </cell>
          <cell r="D231" t="str">
            <v>Piston Ring Assembly</v>
          </cell>
          <cell r="E231">
            <v>6</v>
          </cell>
          <cell r="F231" t="str">
            <v>2000 Jam</v>
          </cell>
          <cell r="G231" t="str">
            <v>Ring piston</v>
          </cell>
          <cell r="H231">
            <v>390276</v>
          </cell>
          <cell r="I231">
            <v>26</v>
          </cell>
        </row>
        <row r="232">
          <cell r="A232">
            <v>60352085</v>
          </cell>
          <cell r="B232" t="str">
            <v>SANY</v>
          </cell>
          <cell r="C232" t="str">
            <v>SYZ440</v>
          </cell>
          <cell r="D232" t="str">
            <v>Piston</v>
          </cell>
          <cell r="E232">
            <v>6</v>
          </cell>
          <cell r="F232" t="str">
            <v>Insidentil</v>
          </cell>
          <cell r="G232" t="str">
            <v>Piston</v>
          </cell>
          <cell r="H232">
            <v>1313352</v>
          </cell>
          <cell r="I232">
            <v>3</v>
          </cell>
        </row>
        <row r="233">
          <cell r="A233">
            <v>60106736</v>
          </cell>
          <cell r="B233" t="str">
            <v>SANY</v>
          </cell>
          <cell r="C233" t="str">
            <v>SYZ440</v>
          </cell>
          <cell r="D233" t="str">
            <v>Pin, Piston</v>
          </cell>
          <cell r="E233">
            <v>6</v>
          </cell>
          <cell r="F233" t="str">
            <v>Insidentil</v>
          </cell>
          <cell r="G233" t="str">
            <v>Piston pin</v>
          </cell>
          <cell r="H233">
            <v>170496</v>
          </cell>
          <cell r="I233">
            <v>8</v>
          </cell>
        </row>
        <row r="234">
          <cell r="A234">
            <v>60352099</v>
          </cell>
          <cell r="B234" t="str">
            <v>SANY</v>
          </cell>
          <cell r="C234" t="str">
            <v>SYZ440</v>
          </cell>
          <cell r="D234" t="str">
            <v>Connecting Rod Upper Shell</v>
          </cell>
          <cell r="E234">
            <v>6</v>
          </cell>
          <cell r="F234" t="str">
            <v>2000 Jam</v>
          </cell>
          <cell r="G234" t="str">
            <v>Bearing log seher (atas)</v>
          </cell>
          <cell r="H234">
            <v>145188</v>
          </cell>
          <cell r="I234">
            <v>48</v>
          </cell>
        </row>
        <row r="235">
          <cell r="A235">
            <v>60352101</v>
          </cell>
          <cell r="B235" t="str">
            <v>SANY</v>
          </cell>
          <cell r="C235" t="str">
            <v>SYZ440</v>
          </cell>
          <cell r="D235" t="str">
            <v>Connecting Rod Lower Shell</v>
          </cell>
          <cell r="E235">
            <v>6</v>
          </cell>
          <cell r="F235" t="str">
            <v>2000 Jam</v>
          </cell>
          <cell r="G235" t="str">
            <v>Bearing log seher (bawah)</v>
          </cell>
          <cell r="H235">
            <v>213120</v>
          </cell>
          <cell r="I235">
            <v>77</v>
          </cell>
        </row>
        <row r="236">
          <cell r="A236">
            <v>60125032</v>
          </cell>
          <cell r="B236" t="str">
            <v>SANY</v>
          </cell>
          <cell r="C236" t="str">
            <v>SYZ440</v>
          </cell>
          <cell r="D236" t="str">
            <v>Bushing, Main, Crankshaft</v>
          </cell>
          <cell r="E236">
            <v>6</v>
          </cell>
          <cell r="F236" t="str">
            <v>2000 Jam</v>
          </cell>
          <cell r="G236" t="str">
            <v>Bearing utama crankshaft</v>
          </cell>
          <cell r="H236">
            <v>241092</v>
          </cell>
          <cell r="I236">
            <v>1</v>
          </cell>
        </row>
        <row r="237">
          <cell r="A237">
            <v>60272538</v>
          </cell>
          <cell r="B237" t="str">
            <v>SANY</v>
          </cell>
          <cell r="C237" t="str">
            <v>SYZ440</v>
          </cell>
          <cell r="D237" t="str">
            <v>The Thrust Plate</v>
          </cell>
          <cell r="E237">
            <v>1</v>
          </cell>
          <cell r="F237" t="str">
            <v>2000 Jam</v>
          </cell>
          <cell r="G237" t="str">
            <v>Thrust washer crankshaft</v>
          </cell>
          <cell r="H237">
            <v>25308</v>
          </cell>
          <cell r="I237">
            <v>0</v>
          </cell>
        </row>
        <row r="238">
          <cell r="A238">
            <v>60339516</v>
          </cell>
          <cell r="B238" t="str">
            <v>SANY</v>
          </cell>
          <cell r="C238" t="str">
            <v>SYZ440</v>
          </cell>
          <cell r="D238" t="str">
            <v>Cylinder Head Gasket</v>
          </cell>
          <cell r="E238">
            <v>6</v>
          </cell>
          <cell r="F238" t="str">
            <v>2000 Jam</v>
          </cell>
          <cell r="G238" t="str">
            <v>Gasket kepala silinder</v>
          </cell>
          <cell r="H238">
            <v>395604</v>
          </cell>
          <cell r="I238">
            <v>65</v>
          </cell>
        </row>
        <row r="239">
          <cell r="A239">
            <v>60352137</v>
          </cell>
          <cell r="B239" t="str">
            <v>SANY</v>
          </cell>
          <cell r="C239" t="str">
            <v>SYZ440</v>
          </cell>
          <cell r="D239" t="str">
            <v>Gasket, Cylinder Cover</v>
          </cell>
          <cell r="E239">
            <v>6</v>
          </cell>
          <cell r="F239" t="str">
            <v>1000 Jam</v>
          </cell>
          <cell r="G239" t="str">
            <v>Gasket tutup kepala silinder</v>
          </cell>
          <cell r="H239">
            <v>62604.000000000007</v>
          </cell>
          <cell r="I239">
            <v>2</v>
          </cell>
        </row>
        <row r="240">
          <cell r="A240">
            <v>60141426</v>
          </cell>
          <cell r="B240" t="str">
            <v>SANY</v>
          </cell>
          <cell r="C240" t="str">
            <v>SYZ440</v>
          </cell>
          <cell r="D240" t="str">
            <v>Seal, Valve Stem</v>
          </cell>
          <cell r="E240">
            <v>12</v>
          </cell>
          <cell r="F240" t="str">
            <v>1000 Jam</v>
          </cell>
          <cell r="G240" t="str">
            <v>Seal katup</v>
          </cell>
          <cell r="H240">
            <v>15984</v>
          </cell>
          <cell r="I240">
            <v>4</v>
          </cell>
        </row>
        <row r="241">
          <cell r="A241">
            <v>60141419</v>
          </cell>
          <cell r="B241" t="str">
            <v>SANY</v>
          </cell>
          <cell r="C241" t="str">
            <v>SYZ440</v>
          </cell>
          <cell r="D241" t="str">
            <v>Valve, Exhaust</v>
          </cell>
          <cell r="E241">
            <v>12</v>
          </cell>
          <cell r="F241" t="str">
            <v>Insidentil</v>
          </cell>
          <cell r="G241" t="str">
            <v>Katup buang</v>
          </cell>
          <cell r="H241">
            <v>406260.00000000012</v>
          </cell>
          <cell r="I241">
            <v>55</v>
          </cell>
        </row>
        <row r="242">
          <cell r="A242">
            <v>168899000426</v>
          </cell>
          <cell r="B242" t="str">
            <v>SANY</v>
          </cell>
          <cell r="C242" t="str">
            <v>SYZ440</v>
          </cell>
          <cell r="D242" t="str">
            <v>Valve, Intake</v>
          </cell>
          <cell r="E242">
            <v>12</v>
          </cell>
          <cell r="F242" t="str">
            <v>Insidentil</v>
          </cell>
          <cell r="G242" t="str">
            <v>Katup isap</v>
          </cell>
          <cell r="H242">
            <v>170496</v>
          </cell>
          <cell r="I242">
            <v>32</v>
          </cell>
        </row>
        <row r="243">
          <cell r="A243">
            <v>60352144</v>
          </cell>
          <cell r="B243" t="str">
            <v>SANY</v>
          </cell>
          <cell r="C243" t="str">
            <v>SYZ440</v>
          </cell>
          <cell r="D243" t="str">
            <v>Spring, Valve</v>
          </cell>
          <cell r="E243">
            <v>24</v>
          </cell>
          <cell r="F243" t="str">
            <v>2000 Jam</v>
          </cell>
          <cell r="G243" t="str">
            <v>Pegas katup</v>
          </cell>
          <cell r="H243">
            <v>30636</v>
          </cell>
          <cell r="I243">
            <v>9</v>
          </cell>
        </row>
        <row r="244">
          <cell r="A244">
            <v>168899000003</v>
          </cell>
          <cell r="B244" t="str">
            <v>SANY</v>
          </cell>
          <cell r="C244" t="str">
            <v>SYZ440</v>
          </cell>
          <cell r="D244" t="str">
            <v>Rocker Lever Group</v>
          </cell>
          <cell r="E244">
            <v>12</v>
          </cell>
          <cell r="F244" t="str">
            <v>Insidentil</v>
          </cell>
          <cell r="G244" t="str">
            <v>Rocker arm</v>
          </cell>
          <cell r="H244">
            <v>170496</v>
          </cell>
          <cell r="I244">
            <v>275</v>
          </cell>
        </row>
        <row r="245">
          <cell r="A245">
            <v>61005464</v>
          </cell>
          <cell r="B245" t="str">
            <v>SANY</v>
          </cell>
          <cell r="C245" t="str">
            <v>SYZ440</v>
          </cell>
          <cell r="D245" t="str">
            <v>Camshaft Assembly</v>
          </cell>
          <cell r="E245">
            <v>1</v>
          </cell>
          <cell r="F245" t="str">
            <v>Insidentil</v>
          </cell>
          <cell r="G245" t="str">
            <v>Camshaft</v>
          </cell>
          <cell r="H245">
            <v>4213116</v>
          </cell>
          <cell r="I245">
            <v>9</v>
          </cell>
        </row>
        <row r="246">
          <cell r="A246">
            <v>60106797</v>
          </cell>
          <cell r="B246" t="str">
            <v>SANY</v>
          </cell>
          <cell r="C246" t="str">
            <v>SYZ440</v>
          </cell>
          <cell r="D246" t="str">
            <v>Rear Oil Seal</v>
          </cell>
          <cell r="E246">
            <v>1</v>
          </cell>
          <cell r="F246" t="str">
            <v>1000 Jam</v>
          </cell>
          <cell r="G246" t="str">
            <v>Seal oli belakang crankshaft</v>
          </cell>
          <cell r="H246">
            <v>311688</v>
          </cell>
          <cell r="I246">
            <v>18</v>
          </cell>
        </row>
        <row r="247">
          <cell r="A247">
            <v>60106800</v>
          </cell>
          <cell r="B247" t="str">
            <v>SANY</v>
          </cell>
          <cell r="C247" t="str">
            <v>SYZ440</v>
          </cell>
          <cell r="D247" t="str">
            <v>Front Oil Seal</v>
          </cell>
          <cell r="E247">
            <v>1</v>
          </cell>
          <cell r="F247" t="str">
            <v>1000 Jam</v>
          </cell>
          <cell r="G247" t="str">
            <v>Seal oli depan crankshaft</v>
          </cell>
          <cell r="H247">
            <v>242424</v>
          </cell>
          <cell r="I247">
            <v>1</v>
          </cell>
        </row>
        <row r="248">
          <cell r="A248" t="str">
            <v>160101100046A011</v>
          </cell>
          <cell r="B248" t="str">
            <v>SANY</v>
          </cell>
          <cell r="C248" t="str">
            <v>SYZ440</v>
          </cell>
          <cell r="D248" t="str">
            <v>Oil Pan Assembly</v>
          </cell>
          <cell r="E248">
            <v>1</v>
          </cell>
          <cell r="F248" t="str">
            <v>Insidentil</v>
          </cell>
          <cell r="G248" t="str">
            <v>Bak oli</v>
          </cell>
          <cell r="H248">
            <v>3864132</v>
          </cell>
          <cell r="I248">
            <v>22</v>
          </cell>
        </row>
        <row r="249">
          <cell r="A249">
            <v>168899000427</v>
          </cell>
          <cell r="B249" t="str">
            <v>SANY</v>
          </cell>
          <cell r="C249" t="str">
            <v>SYZ440</v>
          </cell>
          <cell r="D249" t="str">
            <v>Oil Pan Sealing Gasket</v>
          </cell>
          <cell r="E249">
            <v>1</v>
          </cell>
          <cell r="F249" t="str">
            <v>1000 Jam</v>
          </cell>
          <cell r="G249" t="str">
            <v>Gasket bak oli</v>
          </cell>
          <cell r="H249">
            <v>351648</v>
          </cell>
          <cell r="I249">
            <v>11</v>
          </cell>
        </row>
        <row r="250">
          <cell r="A250">
            <v>60328867</v>
          </cell>
          <cell r="B250" t="str">
            <v>SANY</v>
          </cell>
          <cell r="C250" t="str">
            <v>SYZ440</v>
          </cell>
          <cell r="D250" t="str">
            <v>Engine Oil Filter Element</v>
          </cell>
          <cell r="E250">
            <v>2</v>
          </cell>
          <cell r="F250" t="str">
            <v>250 Jam</v>
          </cell>
          <cell r="G250" t="str">
            <v>Filter oli mesin</v>
          </cell>
          <cell r="H250">
            <v>110556</v>
          </cell>
          <cell r="I250">
            <v>234</v>
          </cell>
        </row>
        <row r="251">
          <cell r="A251">
            <v>61027331</v>
          </cell>
          <cell r="B251" t="str">
            <v>SANY</v>
          </cell>
          <cell r="C251" t="str">
            <v>SYZ440</v>
          </cell>
          <cell r="D251" t="str">
            <v>Diesel Fine Filter Core</v>
          </cell>
          <cell r="E251">
            <v>2</v>
          </cell>
          <cell r="F251" t="str">
            <v>500 Jam</v>
          </cell>
          <cell r="G251" t="str">
            <v>Filter solar (fine)</v>
          </cell>
          <cell r="H251">
            <v>115884</v>
          </cell>
          <cell r="I251">
            <v>376</v>
          </cell>
        </row>
        <row r="252">
          <cell r="A252">
            <v>160603020013</v>
          </cell>
          <cell r="B252" t="str">
            <v>SANY</v>
          </cell>
          <cell r="C252" t="str">
            <v>SYZ440</v>
          </cell>
          <cell r="D252" t="str">
            <v>Oil-water separator element</v>
          </cell>
          <cell r="E252">
            <v>1</v>
          </cell>
          <cell r="F252" t="str">
            <v>500 Jam</v>
          </cell>
          <cell r="G252" t="str">
            <v>Water separator</v>
          </cell>
          <cell r="H252">
            <v>267732</v>
          </cell>
          <cell r="I252">
            <v>2129</v>
          </cell>
        </row>
        <row r="253">
          <cell r="A253" t="str">
            <v>160101100046A020</v>
          </cell>
          <cell r="B253" t="str">
            <v>SANY</v>
          </cell>
          <cell r="C253" t="str">
            <v>SYZ440</v>
          </cell>
          <cell r="D253" t="str">
            <v>Electrical Fuel Supply Pump Assembly</v>
          </cell>
          <cell r="E253">
            <v>1</v>
          </cell>
          <cell r="F253" t="str">
            <v>Insidentil</v>
          </cell>
          <cell r="G253" t="str">
            <v>Pompa bahan bakar elektrik</v>
          </cell>
          <cell r="H253">
            <v>7107552.0000000009</v>
          </cell>
          <cell r="I253">
            <v>1</v>
          </cell>
        </row>
        <row r="254">
          <cell r="A254" t="str">
            <v>160101100046A017</v>
          </cell>
          <cell r="B254" t="str">
            <v>SANY</v>
          </cell>
          <cell r="C254" t="str">
            <v>SYZ440</v>
          </cell>
          <cell r="D254" t="str">
            <v>Fuel injection pump Assembly</v>
          </cell>
          <cell r="E254">
            <v>1</v>
          </cell>
          <cell r="F254" t="str">
            <v>Insidentil</v>
          </cell>
          <cell r="G254" t="str">
            <v>Pompa injeksi</v>
          </cell>
          <cell r="H254">
            <v>31140828</v>
          </cell>
          <cell r="I254">
            <v>58</v>
          </cell>
        </row>
        <row r="255">
          <cell r="A255" t="str">
            <v>160101120038A019</v>
          </cell>
          <cell r="B255" t="str">
            <v>SANY</v>
          </cell>
          <cell r="C255" t="str">
            <v>SYZ440</v>
          </cell>
          <cell r="D255" t="str">
            <v>Injector</v>
          </cell>
          <cell r="E255">
            <v>6</v>
          </cell>
          <cell r="F255" t="str">
            <v>1500 Jam</v>
          </cell>
          <cell r="G255" t="str">
            <v>Injektor</v>
          </cell>
          <cell r="H255">
            <v>2997000</v>
          </cell>
          <cell r="I255">
            <v>13</v>
          </cell>
        </row>
        <row r="256">
          <cell r="A256">
            <v>60352064</v>
          </cell>
          <cell r="B256" t="str">
            <v>SANY</v>
          </cell>
          <cell r="C256" t="str">
            <v>SYZ440</v>
          </cell>
          <cell r="D256" t="str">
            <v>Gasket (intake manifold)</v>
          </cell>
          <cell r="E256">
            <v>6</v>
          </cell>
          <cell r="F256" t="str">
            <v>1000 Jam</v>
          </cell>
          <cell r="G256" t="str">
            <v>Gasket intake manifold</v>
          </cell>
          <cell r="H256">
            <v>23976</v>
          </cell>
          <cell r="I256">
            <v>75</v>
          </cell>
        </row>
        <row r="257">
          <cell r="A257">
            <v>60352127</v>
          </cell>
          <cell r="B257" t="str">
            <v>SANY</v>
          </cell>
          <cell r="C257" t="str">
            <v>SYZ440</v>
          </cell>
          <cell r="D257" t="str">
            <v>Gasket, Exhaust Manifold</v>
          </cell>
          <cell r="E257">
            <v>6</v>
          </cell>
          <cell r="F257" t="str">
            <v>1000 Jam</v>
          </cell>
          <cell r="G257" t="str">
            <v>Gasket exhaust manifold</v>
          </cell>
          <cell r="H257">
            <v>34632</v>
          </cell>
          <cell r="I257">
            <v>41</v>
          </cell>
        </row>
        <row r="258">
          <cell r="A258" t="str">
            <v>160101100046A016</v>
          </cell>
          <cell r="B258" t="str">
            <v>SANY</v>
          </cell>
          <cell r="C258" t="str">
            <v>SYZ440</v>
          </cell>
          <cell r="D258" t="str">
            <v>Turbocharger</v>
          </cell>
          <cell r="E258">
            <v>1</v>
          </cell>
          <cell r="F258" t="str">
            <v>Insidentil</v>
          </cell>
          <cell r="G258" t="str">
            <v>Turbo</v>
          </cell>
          <cell r="H258">
            <v>16242408</v>
          </cell>
          <cell r="I258">
            <v>29</v>
          </cell>
        </row>
        <row r="259">
          <cell r="A259">
            <v>60013295</v>
          </cell>
          <cell r="B259" t="str">
            <v>SANY</v>
          </cell>
          <cell r="C259" t="str">
            <v>SYZ440</v>
          </cell>
          <cell r="D259" t="str">
            <v>Fan</v>
          </cell>
          <cell r="E259">
            <v>1</v>
          </cell>
          <cell r="F259" t="str">
            <v>Insidentil</v>
          </cell>
          <cell r="G259" t="str">
            <v>Kipas pendingin</v>
          </cell>
          <cell r="H259">
            <v>2148516</v>
          </cell>
          <cell r="I259">
            <v>3</v>
          </cell>
        </row>
        <row r="260">
          <cell r="A260">
            <v>60339522</v>
          </cell>
          <cell r="B260" t="str">
            <v>SANY</v>
          </cell>
          <cell r="C260" t="str">
            <v>SYZ440</v>
          </cell>
          <cell r="D260" t="str">
            <v>Belt</v>
          </cell>
          <cell r="E260">
            <v>1</v>
          </cell>
          <cell r="F260" t="str">
            <v>1000 Jam</v>
          </cell>
          <cell r="G260" t="str">
            <v>Serpentine belt</v>
          </cell>
          <cell r="H260">
            <v>310356</v>
          </cell>
          <cell r="I260">
            <v>82</v>
          </cell>
        </row>
        <row r="261">
          <cell r="A261">
            <v>60339523</v>
          </cell>
          <cell r="B261" t="str">
            <v>SANY</v>
          </cell>
          <cell r="C261" t="str">
            <v>SYZ440</v>
          </cell>
          <cell r="D261" t="str">
            <v>Poly V Belt</v>
          </cell>
          <cell r="E261">
            <v>1</v>
          </cell>
          <cell r="F261" t="str">
            <v>1000 Jam</v>
          </cell>
          <cell r="G261" t="str">
            <v>Poly V belt</v>
          </cell>
          <cell r="H261">
            <v>352980</v>
          </cell>
          <cell r="I261">
            <v>19</v>
          </cell>
        </row>
        <row r="262">
          <cell r="A262">
            <v>60339521</v>
          </cell>
          <cell r="B262" t="str">
            <v>SANY</v>
          </cell>
          <cell r="C262" t="str">
            <v>SYZ440</v>
          </cell>
          <cell r="D262" t="str">
            <v>Tensioner, Automatic</v>
          </cell>
          <cell r="E262">
            <v>1</v>
          </cell>
          <cell r="F262" t="str">
            <v>Insidentil</v>
          </cell>
          <cell r="G262" t="str">
            <v>Tensioner otomatis</v>
          </cell>
          <cell r="H262">
            <v>1405260</v>
          </cell>
          <cell r="I262">
            <v>0</v>
          </cell>
        </row>
        <row r="263">
          <cell r="A263">
            <v>60106777</v>
          </cell>
          <cell r="B263" t="str">
            <v>SANY</v>
          </cell>
          <cell r="C263" t="str">
            <v>SYZ440</v>
          </cell>
          <cell r="D263" t="str">
            <v>Water pump tensioner</v>
          </cell>
          <cell r="E263">
            <v>1</v>
          </cell>
          <cell r="F263" t="str">
            <v>Insidentil</v>
          </cell>
          <cell r="G263" t="str">
            <v>Tensioner water pump</v>
          </cell>
          <cell r="H263">
            <v>1892772</v>
          </cell>
          <cell r="I263">
            <v>2</v>
          </cell>
        </row>
        <row r="264">
          <cell r="A264">
            <v>168899000430</v>
          </cell>
          <cell r="B264" t="str">
            <v>SANY</v>
          </cell>
          <cell r="C264" t="str">
            <v>SYZ440</v>
          </cell>
          <cell r="D264" t="str">
            <v>Pump, Coolant</v>
          </cell>
          <cell r="E264">
            <v>1</v>
          </cell>
          <cell r="F264" t="str">
            <v>Insidentil</v>
          </cell>
          <cell r="G264" t="str">
            <v>Water pump</v>
          </cell>
          <cell r="H264">
            <v>5124204</v>
          </cell>
          <cell r="I264">
            <v>88</v>
          </cell>
        </row>
        <row r="265">
          <cell r="A265">
            <v>60352090</v>
          </cell>
          <cell r="B265" t="str">
            <v>SANY</v>
          </cell>
          <cell r="C265" t="str">
            <v>SYZ440</v>
          </cell>
          <cell r="D265" t="str">
            <v>Body, Thermostat</v>
          </cell>
          <cell r="E265">
            <v>1</v>
          </cell>
          <cell r="F265" t="str">
            <v>Insidentil</v>
          </cell>
          <cell r="G265" t="str">
            <v>Rumah termostat</v>
          </cell>
          <cell r="H265">
            <v>321012</v>
          </cell>
          <cell r="I265">
            <v>46</v>
          </cell>
        </row>
        <row r="266">
          <cell r="A266">
            <v>60352125</v>
          </cell>
          <cell r="B266" t="str">
            <v>SANY</v>
          </cell>
          <cell r="C266" t="str">
            <v>SYZ440</v>
          </cell>
          <cell r="D266" t="str">
            <v>Thermostat, Internal</v>
          </cell>
          <cell r="E266">
            <v>1</v>
          </cell>
          <cell r="F266" t="str">
            <v>1000 Jam</v>
          </cell>
          <cell r="G266" t="str">
            <v>Termostat internal</v>
          </cell>
          <cell r="H266">
            <v>470196.00000000012</v>
          </cell>
          <cell r="I266">
            <v>10</v>
          </cell>
        </row>
        <row r="267">
          <cell r="A267">
            <v>61026495</v>
          </cell>
          <cell r="B267" t="str">
            <v>SANY</v>
          </cell>
          <cell r="C267" t="str">
            <v>SYZ440</v>
          </cell>
          <cell r="D267" t="str">
            <v>Starter Motor</v>
          </cell>
          <cell r="E267">
            <v>1</v>
          </cell>
          <cell r="F267" t="str">
            <v>Insidentil</v>
          </cell>
          <cell r="G267" t="str">
            <v>Starter</v>
          </cell>
          <cell r="H267">
            <v>11112876</v>
          </cell>
          <cell r="I267">
            <v>4</v>
          </cell>
        </row>
        <row r="268">
          <cell r="A268" t="str">
            <v>160101100046A019</v>
          </cell>
          <cell r="B268" t="str">
            <v>SANY</v>
          </cell>
          <cell r="C268" t="str">
            <v>SYZ440</v>
          </cell>
          <cell r="D268" t="str">
            <v>Alternator</v>
          </cell>
          <cell r="E268">
            <v>1</v>
          </cell>
          <cell r="F268" t="str">
            <v>Insidentil</v>
          </cell>
          <cell r="G268" t="str">
            <v>Alternator</v>
          </cell>
          <cell r="H268">
            <v>5252076</v>
          </cell>
          <cell r="I268">
            <v>3</v>
          </cell>
        </row>
        <row r="269">
          <cell r="A269" t="str">
            <v>921050600001A</v>
          </cell>
          <cell r="B269" t="str">
            <v>SANY</v>
          </cell>
          <cell r="C269" t="str">
            <v>SYZ440</v>
          </cell>
          <cell r="D269" t="str">
            <v>Cooling Module Assembly</v>
          </cell>
          <cell r="E269">
            <v>1</v>
          </cell>
          <cell r="F269" t="str">
            <v>Insidentil</v>
          </cell>
          <cell r="G269" t="str">
            <v>Radiator + intercooler</v>
          </cell>
          <cell r="H269">
            <v>15243408</v>
          </cell>
          <cell r="I269">
            <v>0</v>
          </cell>
        </row>
        <row r="270">
          <cell r="A270" t="str">
            <v>160299000044A</v>
          </cell>
          <cell r="B270" t="str">
            <v>SANY</v>
          </cell>
          <cell r="C270" t="str">
            <v>SYZ440</v>
          </cell>
          <cell r="D270" t="str">
            <v>expansion watertank assembly</v>
          </cell>
          <cell r="E270">
            <v>1</v>
          </cell>
          <cell r="F270" t="str">
            <v>Insidentil</v>
          </cell>
          <cell r="G270" t="str">
            <v>Tangki ekspansi</v>
          </cell>
          <cell r="H270">
            <v>788544</v>
          </cell>
          <cell r="I270">
            <v>1</v>
          </cell>
        </row>
        <row r="271">
          <cell r="A271" t="str">
            <v>QDP005103916</v>
          </cell>
          <cell r="B271" t="str">
            <v>SANY</v>
          </cell>
          <cell r="C271" t="str">
            <v>SYZ440</v>
          </cell>
          <cell r="D271" t="str">
            <v>Radiator Outlet Pipe</v>
          </cell>
          <cell r="E271">
            <v>1</v>
          </cell>
          <cell r="F271" t="str">
            <v>Insidentil</v>
          </cell>
          <cell r="G271" t="str">
            <v>Pipa keluar radiator</v>
          </cell>
          <cell r="H271">
            <v>105228</v>
          </cell>
          <cell r="I271">
            <v>10</v>
          </cell>
        </row>
        <row r="272">
          <cell r="A272" t="str">
            <v>QDP005233909</v>
          </cell>
          <cell r="B272" t="str">
            <v>SANY</v>
          </cell>
          <cell r="C272" t="str">
            <v>SYZ440</v>
          </cell>
          <cell r="D272" t="str">
            <v>lower Water tube</v>
          </cell>
          <cell r="E272">
            <v>1</v>
          </cell>
          <cell r="F272" t="str">
            <v>Insidentil</v>
          </cell>
          <cell r="G272" t="str">
            <v>Pipa air bawah</v>
          </cell>
          <cell r="H272">
            <v>859140.00000000012</v>
          </cell>
          <cell r="I272">
            <v>2</v>
          </cell>
        </row>
        <row r="273">
          <cell r="A273" t="str">
            <v>A820606010982</v>
          </cell>
          <cell r="B273" t="str">
            <v>SANY</v>
          </cell>
          <cell r="C273" t="str">
            <v>SYZ440</v>
          </cell>
          <cell r="D273" t="str">
            <v>Air Exhaust Pipe of Engine</v>
          </cell>
          <cell r="E273">
            <v>1</v>
          </cell>
          <cell r="F273" t="str">
            <v>Insidentil</v>
          </cell>
          <cell r="G273" t="str">
            <v>Selang pembuangan udara mesin</v>
          </cell>
          <cell r="H273">
            <v>70596</v>
          </cell>
          <cell r="I273">
            <v>1</v>
          </cell>
        </row>
        <row r="274">
          <cell r="A274" t="str">
            <v>130201000190A</v>
          </cell>
          <cell r="B274" t="str">
            <v>SANY</v>
          </cell>
          <cell r="C274" t="str">
            <v>SYZ440</v>
          </cell>
          <cell r="D274" t="str">
            <v>Gearbox</v>
          </cell>
          <cell r="E274">
            <v>1</v>
          </cell>
          <cell r="F274" t="str">
            <v>Insidentil</v>
          </cell>
          <cell r="G274" t="str">
            <v>Transmisi assy</v>
          </cell>
          <cell r="H274">
            <v>120339540</v>
          </cell>
          <cell r="I274">
            <v>0</v>
          </cell>
        </row>
        <row r="275">
          <cell r="A275">
            <v>61005716</v>
          </cell>
          <cell r="B275" t="str">
            <v>SANY</v>
          </cell>
          <cell r="C275" t="str">
            <v>SYZ440</v>
          </cell>
          <cell r="D275" t="str">
            <v>Clutch Release Bearing</v>
          </cell>
          <cell r="E275">
            <v>1</v>
          </cell>
          <cell r="F275" t="str">
            <v>500 Jam</v>
          </cell>
          <cell r="G275" t="str">
            <v>Bearing release kopling</v>
          </cell>
          <cell r="H275">
            <v>1126872</v>
          </cell>
          <cell r="I275">
            <v>0</v>
          </cell>
        </row>
        <row r="276">
          <cell r="A276" t="str">
            <v>130699000049A</v>
          </cell>
          <cell r="B276" t="str">
            <v>SANY</v>
          </cell>
          <cell r="C276" t="str">
            <v>SYZ440</v>
          </cell>
          <cell r="D276" t="str">
            <v>Driven Disc Assembly, Clutch</v>
          </cell>
          <cell r="E276">
            <v>1</v>
          </cell>
          <cell r="F276" t="str">
            <v>1000 Jam</v>
          </cell>
          <cell r="G276" t="str">
            <v>Kampas kopling</v>
          </cell>
          <cell r="H276">
            <v>4797864</v>
          </cell>
          <cell r="I276">
            <v>0</v>
          </cell>
        </row>
        <row r="277">
          <cell r="A277" t="str">
            <v>130699000050A</v>
          </cell>
          <cell r="B277" t="str">
            <v>SANY</v>
          </cell>
          <cell r="C277" t="str">
            <v>SYZ440</v>
          </cell>
          <cell r="D277" t="str">
            <v>Pressure Plate Assembly, Clutch</v>
          </cell>
          <cell r="E277">
            <v>1</v>
          </cell>
          <cell r="F277" t="str">
            <v>1000 Jam</v>
          </cell>
          <cell r="G277" t="str">
            <v>Plat penekan kopling</v>
          </cell>
          <cell r="H277">
            <v>5130864</v>
          </cell>
          <cell r="I277">
            <v>7</v>
          </cell>
        </row>
        <row r="278">
          <cell r="A278">
            <v>61019283</v>
          </cell>
          <cell r="B278" t="str">
            <v>SANY</v>
          </cell>
          <cell r="C278" t="str">
            <v>SYZ440</v>
          </cell>
          <cell r="D278" t="str">
            <v>Clutch Booster</v>
          </cell>
          <cell r="E278">
            <v>1</v>
          </cell>
          <cell r="F278" t="str">
            <v>Insidentil</v>
          </cell>
          <cell r="G278" t="str">
            <v>Booster kopling</v>
          </cell>
          <cell r="H278">
            <v>1507824</v>
          </cell>
          <cell r="I278">
            <v>77</v>
          </cell>
        </row>
        <row r="279">
          <cell r="A279">
            <v>13283896</v>
          </cell>
          <cell r="B279" t="str">
            <v>SANY</v>
          </cell>
          <cell r="C279" t="str">
            <v>SYZ440</v>
          </cell>
          <cell r="D279" t="str">
            <v>Main Pump Steel Pipe</v>
          </cell>
          <cell r="E279">
            <v>1</v>
          </cell>
          <cell r="F279" t="str">
            <v>Insidentil</v>
          </cell>
          <cell r="G279" t="str">
            <v>Pipa utama kopling</v>
          </cell>
          <cell r="H279">
            <v>17316</v>
          </cell>
          <cell r="I279">
            <v>0</v>
          </cell>
        </row>
        <row r="280">
          <cell r="A280" t="str">
            <v>QDP006555271</v>
          </cell>
          <cell r="B280" t="str">
            <v>SANY</v>
          </cell>
          <cell r="C280" t="str">
            <v>SYZ440</v>
          </cell>
          <cell r="D280" t="str">
            <v>hose assembly</v>
          </cell>
          <cell r="E280">
            <v>1</v>
          </cell>
          <cell r="F280" t="str">
            <v>500 Jam / bocor</v>
          </cell>
          <cell r="G280" t="str">
            <v>Selang kopling</v>
          </cell>
          <cell r="H280">
            <v>303696</v>
          </cell>
          <cell r="I280">
            <v>0</v>
          </cell>
        </row>
        <row r="281">
          <cell r="A281" t="str">
            <v>131401020776A002</v>
          </cell>
          <cell r="B281" t="str">
            <v>SANY</v>
          </cell>
          <cell r="C281" t="str">
            <v>SYZ440</v>
          </cell>
          <cell r="D281" t="str">
            <v>Brake drum</v>
          </cell>
          <cell r="E281">
            <v>2</v>
          </cell>
          <cell r="F281" t="str">
            <v>Insidentil</v>
          </cell>
          <cell r="G281" t="str">
            <v>Tromol rem (intermediate)</v>
          </cell>
          <cell r="H281">
            <v>4792536</v>
          </cell>
          <cell r="I281">
            <v>0</v>
          </cell>
        </row>
        <row r="282">
          <cell r="A282" t="str">
            <v>131401020775A005</v>
          </cell>
          <cell r="B282" t="str">
            <v>SANY</v>
          </cell>
          <cell r="C282" t="str">
            <v>SYZ440</v>
          </cell>
          <cell r="D282" t="str">
            <v>Bimetal brake drum</v>
          </cell>
          <cell r="E282">
            <v>2</v>
          </cell>
          <cell r="F282" t="str">
            <v>Insidentil</v>
          </cell>
          <cell r="G282" t="str">
            <v>Tromol rem bimetal (rear)</v>
          </cell>
          <cell r="H282">
            <v>4011984</v>
          </cell>
          <cell r="I282">
            <v>2</v>
          </cell>
        </row>
        <row r="283">
          <cell r="A283" t="str">
            <v>131401020433B053</v>
          </cell>
          <cell r="B283" t="str">
            <v>SANY</v>
          </cell>
          <cell r="C283" t="str">
            <v>SYZ440</v>
          </cell>
          <cell r="D283" t="str">
            <v>Brake shoe</v>
          </cell>
          <cell r="E283">
            <v>4</v>
          </cell>
          <cell r="F283" t="str">
            <v>500 Jam</v>
          </cell>
          <cell r="G283" t="str">
            <v>Sepatu rem (brake shoe)</v>
          </cell>
          <cell r="H283">
            <v>2071260</v>
          </cell>
          <cell r="I283">
            <v>16</v>
          </cell>
        </row>
        <row r="284">
          <cell r="A284" t="str">
            <v>131401020119A002</v>
          </cell>
          <cell r="B284" t="str">
            <v>SANY</v>
          </cell>
          <cell r="C284" t="str">
            <v>SYZ440</v>
          </cell>
          <cell r="D284" t="str">
            <v>Friction plate</v>
          </cell>
          <cell r="E284">
            <v>8</v>
          </cell>
          <cell r="F284" t="str">
            <v>500 Jam</v>
          </cell>
          <cell r="G284" t="str">
            <v>Kampas rem</v>
          </cell>
          <cell r="H284">
            <v>209124</v>
          </cell>
          <cell r="I284">
            <v>888</v>
          </cell>
        </row>
        <row r="285">
          <cell r="A285">
            <v>60335119</v>
          </cell>
          <cell r="B285" t="str">
            <v>SANY</v>
          </cell>
          <cell r="C285" t="str">
            <v>SYZ440</v>
          </cell>
          <cell r="D285" t="str">
            <v>Roller</v>
          </cell>
          <cell r="E285">
            <v>4</v>
          </cell>
          <cell r="F285" t="str">
            <v>1000 Jam</v>
          </cell>
          <cell r="G285" t="str">
            <v>Roller camshaft rem</v>
          </cell>
          <cell r="H285">
            <v>63936.000000000007</v>
          </cell>
          <cell r="I285">
            <v>6</v>
          </cell>
        </row>
        <row r="286">
          <cell r="A286">
            <v>60335115</v>
          </cell>
          <cell r="B286" t="str">
            <v>SANY</v>
          </cell>
          <cell r="C286" t="str">
            <v>SYZ440</v>
          </cell>
          <cell r="D286" t="str">
            <v>Return Spring</v>
          </cell>
          <cell r="E286">
            <v>4</v>
          </cell>
          <cell r="F286" t="str">
            <v>1000 Jam</v>
          </cell>
          <cell r="G286" t="str">
            <v>Pegas balik rem</v>
          </cell>
          <cell r="H286">
            <v>78588</v>
          </cell>
          <cell r="I286">
            <v>6224</v>
          </cell>
        </row>
        <row r="287">
          <cell r="A287" t="str">
            <v>131401020775A003</v>
          </cell>
          <cell r="B287" t="str">
            <v>SANY</v>
          </cell>
          <cell r="C287" t="str">
            <v>SYZ440</v>
          </cell>
          <cell r="D287" t="str">
            <v>Camshaft left</v>
          </cell>
          <cell r="E287">
            <v>1</v>
          </cell>
          <cell r="F287" t="str">
            <v>Insidentil</v>
          </cell>
          <cell r="G287" t="str">
            <v>Camshaft rem kiri</v>
          </cell>
          <cell r="H287">
            <v>618048</v>
          </cell>
          <cell r="I287">
            <v>0</v>
          </cell>
        </row>
        <row r="288">
          <cell r="A288" t="str">
            <v>131401020775A004</v>
          </cell>
          <cell r="B288" t="str">
            <v>SANY</v>
          </cell>
          <cell r="C288" t="str">
            <v>SYZ440</v>
          </cell>
          <cell r="D288" t="str">
            <v>Camshaft</v>
          </cell>
          <cell r="E288">
            <v>1</v>
          </cell>
          <cell r="F288" t="str">
            <v>Insidentil</v>
          </cell>
          <cell r="G288" t="str">
            <v>Camshaft rem kanan</v>
          </cell>
          <cell r="H288">
            <v>1204128</v>
          </cell>
          <cell r="I288">
            <v>17</v>
          </cell>
        </row>
        <row r="289">
          <cell r="A289">
            <v>60335181</v>
          </cell>
          <cell r="B289" t="str">
            <v>SANY</v>
          </cell>
          <cell r="C289" t="str">
            <v>SYZ440</v>
          </cell>
          <cell r="D289" t="str">
            <v>Automatic ga adjusting (left)</v>
          </cell>
          <cell r="E289">
            <v>1</v>
          </cell>
          <cell r="F289" t="str">
            <v>Insidentil</v>
          </cell>
          <cell r="G289" t="str">
            <v>Adjuster otomatis rem kiri</v>
          </cell>
          <cell r="H289">
            <v>616716</v>
          </cell>
          <cell r="I289">
            <v>0</v>
          </cell>
        </row>
        <row r="290">
          <cell r="A290">
            <v>60335182</v>
          </cell>
          <cell r="B290" t="str">
            <v>SANY</v>
          </cell>
          <cell r="C290" t="str">
            <v>SYZ440</v>
          </cell>
          <cell r="D290" t="str">
            <v>Automatic ga adjusting(right)</v>
          </cell>
          <cell r="E290">
            <v>2</v>
          </cell>
          <cell r="F290" t="str">
            <v>Insidentil</v>
          </cell>
          <cell r="G290" t="str">
            <v>Adjuster otomatis rem kanan</v>
          </cell>
          <cell r="H290">
            <v>616716</v>
          </cell>
          <cell r="I290">
            <v>3</v>
          </cell>
        </row>
        <row r="291">
          <cell r="A291" t="str">
            <v>152503990036A</v>
          </cell>
          <cell r="B291" t="str">
            <v>SANY</v>
          </cell>
          <cell r="C291" t="str">
            <v>SYZ440</v>
          </cell>
          <cell r="D291" t="str">
            <v>Relay Valve</v>
          </cell>
          <cell r="E291">
            <v>2</v>
          </cell>
          <cell r="F291" t="str">
            <v>Insidentil</v>
          </cell>
          <cell r="G291" t="str">
            <v>Katup relay rem</v>
          </cell>
          <cell r="H291">
            <v>338328</v>
          </cell>
          <cell r="I291">
            <v>3</v>
          </cell>
        </row>
        <row r="292">
          <cell r="A292" t="str">
            <v>152503990037A</v>
          </cell>
          <cell r="B292" t="str">
            <v>SANY</v>
          </cell>
          <cell r="C292" t="str">
            <v>SYZ440</v>
          </cell>
          <cell r="D292" t="str">
            <v>Relay Valve</v>
          </cell>
          <cell r="E292">
            <v>1</v>
          </cell>
          <cell r="F292" t="str">
            <v>Insidentil</v>
          </cell>
          <cell r="G292" t="str">
            <v>Katup relay rem (belakang)</v>
          </cell>
          <cell r="H292">
            <v>538128</v>
          </cell>
          <cell r="I292">
            <v>4</v>
          </cell>
        </row>
        <row r="293">
          <cell r="A293" t="str">
            <v>152599000172A</v>
          </cell>
          <cell r="B293" t="str">
            <v>SANY</v>
          </cell>
          <cell r="C293" t="str">
            <v>SYZ440</v>
          </cell>
          <cell r="D293" t="str">
            <v>Air Processing Unit</v>
          </cell>
          <cell r="E293">
            <v>1</v>
          </cell>
          <cell r="F293" t="str">
            <v>500 Jam / Insidentil</v>
          </cell>
          <cell r="G293" t="str">
            <v>Air dryer (unit pengolah udara)</v>
          </cell>
          <cell r="H293">
            <v>2725272</v>
          </cell>
          <cell r="I293">
            <v>0</v>
          </cell>
        </row>
        <row r="294">
          <cell r="A294" t="str">
            <v>152599000172A001</v>
          </cell>
          <cell r="B294" t="str">
            <v>SANY</v>
          </cell>
          <cell r="C294" t="str">
            <v>SYZ440</v>
          </cell>
          <cell r="D294" t="str">
            <v>Drying Cylinder</v>
          </cell>
          <cell r="E294">
            <v>1</v>
          </cell>
          <cell r="F294" t="str">
            <v>500 Jam</v>
          </cell>
          <cell r="G294" t="str">
            <v>Silinder pengering udara</v>
          </cell>
          <cell r="H294">
            <v>262404</v>
          </cell>
          <cell r="I294">
            <v>0</v>
          </cell>
        </row>
        <row r="295">
          <cell r="A295" t="str">
            <v>152599000060A</v>
          </cell>
          <cell r="B295" t="str">
            <v>SANY</v>
          </cell>
          <cell r="C295" t="str">
            <v>SYZ440</v>
          </cell>
          <cell r="D295" t="str">
            <v>Automatic Discharging Valve</v>
          </cell>
          <cell r="E295">
            <v>3</v>
          </cell>
          <cell r="F295" t="str">
            <v>250 Jam (manual check)</v>
          </cell>
          <cell r="G295" t="str">
            <v>Katup pembuang otomatis tangki udara</v>
          </cell>
          <cell r="H295">
            <v>207792</v>
          </cell>
          <cell r="I295">
            <v>0</v>
          </cell>
        </row>
        <row r="296">
          <cell r="A296" t="str">
            <v>131699000040A012</v>
          </cell>
          <cell r="B296" t="str">
            <v>SANY</v>
          </cell>
          <cell r="C296" t="str">
            <v>SYZ440</v>
          </cell>
          <cell r="D296" t="str">
            <v>Center Bolt</v>
          </cell>
          <cell r="E296">
            <v>1</v>
          </cell>
          <cell r="F296" t="str">
            <v>Insidentil</v>
          </cell>
          <cell r="G296" t="str">
            <v>Baut tengah per daun belakang</v>
          </cell>
          <cell r="H296">
            <v>67932</v>
          </cell>
          <cell r="I296">
            <v>121</v>
          </cell>
        </row>
        <row r="297">
          <cell r="A297" t="str">
            <v>131501000005A006</v>
          </cell>
          <cell r="B297" t="str">
            <v>SANY</v>
          </cell>
          <cell r="C297" t="str">
            <v>SYZ440</v>
          </cell>
          <cell r="D297" t="str">
            <v>Oil Seal Assembly</v>
          </cell>
          <cell r="E297">
            <v>2</v>
          </cell>
          <cell r="F297" t="str">
            <v>1000 Jam</v>
          </cell>
          <cell r="G297" t="str">
            <v>Seal poros keseimbangan</v>
          </cell>
          <cell r="H297">
            <v>121212</v>
          </cell>
          <cell r="I297">
            <v>0</v>
          </cell>
        </row>
        <row r="298">
          <cell r="A298" t="str">
            <v>131501000005A008</v>
          </cell>
          <cell r="B298" t="str">
            <v>SANY</v>
          </cell>
          <cell r="C298" t="str">
            <v>SYZ440</v>
          </cell>
          <cell r="D298" t="str">
            <v>Balance Shaft Bushing</v>
          </cell>
          <cell r="E298">
            <v>2</v>
          </cell>
          <cell r="F298" t="str">
            <v>2000 Jam</v>
          </cell>
          <cell r="G298" t="str">
            <v>Bushing poros keseimbangan</v>
          </cell>
          <cell r="H298">
            <v>803196.00000000012</v>
          </cell>
          <cell r="I298">
            <v>0</v>
          </cell>
        </row>
        <row r="299">
          <cell r="A299" t="str">
            <v>131501000005A014</v>
          </cell>
          <cell r="B299" t="str">
            <v>SANY</v>
          </cell>
          <cell r="C299" t="str">
            <v>SYZ440</v>
          </cell>
          <cell r="D299" t="str">
            <v>Safety Valve</v>
          </cell>
          <cell r="E299">
            <v>2</v>
          </cell>
          <cell r="F299" t="str">
            <v>Insidentil</v>
          </cell>
          <cell r="G299" t="str">
            <v>Katup pengaman suspensi</v>
          </cell>
          <cell r="H299">
            <v>9324</v>
          </cell>
          <cell r="I299">
            <v>0</v>
          </cell>
        </row>
        <row r="300">
          <cell r="A300" t="str">
            <v>139999000896A001</v>
          </cell>
          <cell r="B300" t="str">
            <v>SANY</v>
          </cell>
          <cell r="C300" t="str">
            <v>SYZ440</v>
          </cell>
          <cell r="D300" t="str">
            <v>A-Type Elastic Ring For Hole</v>
          </cell>
          <cell r="E300">
            <v>2</v>
          </cell>
          <cell r="F300" t="str">
            <v>Inspect</v>
          </cell>
          <cell r="G300" t="str">
            <v>Snap ring thrust rod</v>
          </cell>
          <cell r="I300">
            <v>0</v>
          </cell>
        </row>
        <row r="301">
          <cell r="A301" t="str">
            <v>131401020839A</v>
          </cell>
          <cell r="B301" t="str">
            <v>SANY</v>
          </cell>
          <cell r="C301" t="str">
            <v>SYZ440</v>
          </cell>
          <cell r="D301" t="str">
            <v>Intermediate Axle</v>
          </cell>
          <cell r="E301">
            <v>1</v>
          </cell>
          <cell r="F301" t="str">
            <v>Insidentil</v>
          </cell>
          <cell r="G301" t="str">
            <v>Gandar intermediate</v>
          </cell>
          <cell r="H301">
            <v>117130752</v>
          </cell>
          <cell r="I301">
            <v>1</v>
          </cell>
        </row>
        <row r="302">
          <cell r="A302" t="str">
            <v>131401020840A</v>
          </cell>
          <cell r="B302" t="str">
            <v>SANY</v>
          </cell>
          <cell r="C302" t="str">
            <v>SYZ440</v>
          </cell>
          <cell r="D302" t="str">
            <v>Rear Axle</v>
          </cell>
          <cell r="E302">
            <v>1</v>
          </cell>
          <cell r="F302" t="str">
            <v>Insidentil</v>
          </cell>
          <cell r="G302" t="str">
            <v>Gandar belakang</v>
          </cell>
          <cell r="H302">
            <v>109108116</v>
          </cell>
          <cell r="I302">
            <v>0</v>
          </cell>
        </row>
        <row r="303">
          <cell r="A303" t="str">
            <v>131401020433B001</v>
          </cell>
          <cell r="B303" t="str">
            <v>SANY</v>
          </cell>
          <cell r="C303" t="str">
            <v>SYZ440</v>
          </cell>
          <cell r="D303" t="str">
            <v>Circlip for axle</v>
          </cell>
          <cell r="E303">
            <v>2</v>
          </cell>
          <cell r="F303" t="str">
            <v>2000 Jam</v>
          </cell>
          <cell r="G303" t="str">
            <v>Circlip poros gardan</v>
          </cell>
          <cell r="H303">
            <v>42624</v>
          </cell>
          <cell r="I303">
            <v>6</v>
          </cell>
        </row>
        <row r="304">
          <cell r="A304" t="str">
            <v>131401020433B076</v>
          </cell>
          <cell r="B304" t="str">
            <v>SANY</v>
          </cell>
          <cell r="C304" t="str">
            <v>SYZ440</v>
          </cell>
          <cell r="D304" t="str">
            <v>Oil baffle disc</v>
          </cell>
          <cell r="E304">
            <v>2</v>
          </cell>
          <cell r="F304" t="str">
            <v>1000 Jam</v>
          </cell>
          <cell r="G304" t="str">
            <v>Baffle oli gardan</v>
          </cell>
          <cell r="H304">
            <v>18648</v>
          </cell>
          <cell r="I304">
            <v>0</v>
          </cell>
        </row>
        <row r="305">
          <cell r="A305">
            <v>60199566</v>
          </cell>
          <cell r="B305" t="str">
            <v>SANY</v>
          </cell>
          <cell r="C305" t="str">
            <v>SYZ440</v>
          </cell>
          <cell r="D305" t="str">
            <v>Semi-shaft gear sleeve</v>
          </cell>
          <cell r="E305">
            <v>2</v>
          </cell>
          <cell r="F305" t="str">
            <v>Insidentil</v>
          </cell>
          <cell r="G305" t="str">
            <v>Sleeve gear poros gardan</v>
          </cell>
          <cell r="H305">
            <v>55944.000000000007</v>
          </cell>
          <cell r="I305">
            <v>2</v>
          </cell>
        </row>
        <row r="306">
          <cell r="A306">
            <v>60199565</v>
          </cell>
          <cell r="B306" t="str">
            <v>SANY</v>
          </cell>
          <cell r="C306" t="str">
            <v>SYZ440</v>
          </cell>
          <cell r="D306" t="str">
            <v>Semi-shaft gear</v>
          </cell>
          <cell r="E306">
            <v>2</v>
          </cell>
          <cell r="F306" t="str">
            <v>Insidentil</v>
          </cell>
          <cell r="G306" t="str">
            <v>Gear poros gardan</v>
          </cell>
          <cell r="H306">
            <v>415584.00000000012</v>
          </cell>
          <cell r="I306">
            <v>5</v>
          </cell>
        </row>
        <row r="307">
          <cell r="A307" t="str">
            <v>131401020117A004</v>
          </cell>
          <cell r="B307" t="str">
            <v>SANY</v>
          </cell>
          <cell r="C307" t="str">
            <v>SYZ440</v>
          </cell>
          <cell r="D307" t="str">
            <v>Tapper rolling bearing</v>
          </cell>
          <cell r="E307">
            <v>1</v>
          </cell>
          <cell r="F307" t="str">
            <v>2000 Jam</v>
          </cell>
          <cell r="G307" t="str">
            <v>Bearing gardan</v>
          </cell>
          <cell r="H307">
            <v>1245420</v>
          </cell>
          <cell r="I307">
            <v>160</v>
          </cell>
        </row>
        <row r="308">
          <cell r="A308">
            <v>60256422</v>
          </cell>
          <cell r="B308" t="str">
            <v>SANY</v>
          </cell>
          <cell r="C308" t="str">
            <v>SYZ440</v>
          </cell>
          <cell r="D308" t="str">
            <v>Bearing, Tapered Roller</v>
          </cell>
          <cell r="E308">
            <v>1</v>
          </cell>
          <cell r="F308" t="str">
            <v>2000 Jam</v>
          </cell>
          <cell r="G308" t="str">
            <v>Bearing gardan belakang</v>
          </cell>
          <cell r="H308">
            <v>2907756</v>
          </cell>
          <cell r="I308">
            <v>13</v>
          </cell>
        </row>
        <row r="309">
          <cell r="A309">
            <v>61025757</v>
          </cell>
          <cell r="B309" t="str">
            <v>SANY</v>
          </cell>
          <cell r="C309" t="str">
            <v>SYZ440</v>
          </cell>
          <cell r="D309" t="str">
            <v>Bearing, Tapered Roller (hub)</v>
          </cell>
          <cell r="E309">
            <v>2</v>
          </cell>
          <cell r="F309" t="str">
            <v>2000 Jam</v>
          </cell>
          <cell r="G309" t="str">
            <v>Bearing hub roda</v>
          </cell>
          <cell r="H309">
            <v>1417248</v>
          </cell>
          <cell r="I309">
            <v>3</v>
          </cell>
        </row>
        <row r="310">
          <cell r="A310">
            <v>61025791</v>
          </cell>
          <cell r="B310" t="str">
            <v>SANY</v>
          </cell>
          <cell r="C310" t="str">
            <v>SYZ440</v>
          </cell>
          <cell r="D310" t="str">
            <v>Spacer Ring</v>
          </cell>
          <cell r="E310">
            <v>2</v>
          </cell>
          <cell r="F310" t="str">
            <v>2000 Jam</v>
          </cell>
          <cell r="G310" t="str">
            <v>Ring spacer hub</v>
          </cell>
          <cell r="H310">
            <v>329004</v>
          </cell>
          <cell r="I310">
            <v>0</v>
          </cell>
        </row>
        <row r="311">
          <cell r="A311" t="str">
            <v>131401020362A001</v>
          </cell>
          <cell r="B311" t="str">
            <v>SANY</v>
          </cell>
          <cell r="C311" t="str">
            <v>SYZ440</v>
          </cell>
          <cell r="D311" t="str">
            <v>wheel bolt</v>
          </cell>
          <cell r="E311">
            <v>20</v>
          </cell>
          <cell r="F311" t="str">
            <v>Check berkala</v>
          </cell>
          <cell r="G311" t="str">
            <v>Baut roda</v>
          </cell>
          <cell r="H311">
            <v>59940.000000000007</v>
          </cell>
          <cell r="I311">
            <v>11</v>
          </cell>
        </row>
        <row r="312">
          <cell r="A312" t="str">
            <v>131402020002B008</v>
          </cell>
          <cell r="B312" t="str">
            <v>SANY</v>
          </cell>
          <cell r="C312" t="str">
            <v>SYZ440</v>
          </cell>
          <cell r="D312" t="str">
            <v>Nut Wheel</v>
          </cell>
          <cell r="E312">
            <v>20</v>
          </cell>
          <cell r="F312" t="str">
            <v>Check berkala</v>
          </cell>
          <cell r="G312" t="str">
            <v>Mur roda</v>
          </cell>
          <cell r="H312">
            <v>27972</v>
          </cell>
          <cell r="I312">
            <v>2631</v>
          </cell>
        </row>
        <row r="313">
          <cell r="A313" t="str">
            <v>131103000028A</v>
          </cell>
          <cell r="B313" t="str">
            <v>SANY</v>
          </cell>
          <cell r="C313" t="str">
            <v>SYZ440</v>
          </cell>
          <cell r="D313" t="str">
            <v>Power Steering Gear</v>
          </cell>
          <cell r="E313">
            <v>1</v>
          </cell>
          <cell r="F313" t="str">
            <v>Insidentil</v>
          </cell>
          <cell r="G313" t="str">
            <v>Gear power steering</v>
          </cell>
          <cell r="H313">
            <v>9719604</v>
          </cell>
          <cell r="I313">
            <v>0</v>
          </cell>
        </row>
        <row r="314">
          <cell r="A314" t="str">
            <v>150105010024A</v>
          </cell>
          <cell r="B314" t="str">
            <v>SANY</v>
          </cell>
          <cell r="C314" t="str">
            <v>SYZ440</v>
          </cell>
          <cell r="D314" t="str">
            <v>Power Steering Oil Pump</v>
          </cell>
          <cell r="E314">
            <v>1</v>
          </cell>
          <cell r="F314" t="str">
            <v>Insidentil</v>
          </cell>
          <cell r="G314" t="str">
            <v>Pompa power steering</v>
          </cell>
          <cell r="H314">
            <v>3210120</v>
          </cell>
          <cell r="I314">
            <v>6</v>
          </cell>
        </row>
        <row r="315">
          <cell r="A315">
            <v>13981412</v>
          </cell>
          <cell r="B315" t="str">
            <v>SANY</v>
          </cell>
          <cell r="C315" t="str">
            <v>SYZ440</v>
          </cell>
          <cell r="D315" t="str">
            <v>Radiating Tube</v>
          </cell>
          <cell r="E315">
            <v>1</v>
          </cell>
          <cell r="F315" t="str">
            <v>Insidentil</v>
          </cell>
          <cell r="G315" t="str">
            <v>Pipa pendingin power steering</v>
          </cell>
          <cell r="H315">
            <v>535464</v>
          </cell>
          <cell r="I315">
            <v>10</v>
          </cell>
        </row>
        <row r="316">
          <cell r="A316" t="str">
            <v>A240500000091</v>
          </cell>
          <cell r="B316" t="str">
            <v>SANY</v>
          </cell>
          <cell r="C316" t="str">
            <v>SYZ440</v>
          </cell>
          <cell r="D316" t="str">
            <v>Electric Two Tone Air Horn</v>
          </cell>
          <cell r="E316">
            <v>1</v>
          </cell>
          <cell r="F316" t="str">
            <v>Insidentil</v>
          </cell>
          <cell r="G316" t="str">
            <v>Klakson udara (2 nada)</v>
          </cell>
          <cell r="H316">
            <v>289044</v>
          </cell>
          <cell r="I316">
            <v>10</v>
          </cell>
        </row>
        <row r="317">
          <cell r="A317">
            <v>61020011</v>
          </cell>
          <cell r="B317" t="str">
            <v>SANY</v>
          </cell>
          <cell r="C317" t="str">
            <v>SYZ440</v>
          </cell>
          <cell r="D317" t="str">
            <v>Pressure switch</v>
          </cell>
          <cell r="E317">
            <v>3</v>
          </cell>
          <cell r="F317" t="str">
            <v>Insidentil</v>
          </cell>
          <cell r="G317" t="str">
            <v>Saklar tekanan (rem, diff lock)</v>
          </cell>
          <cell r="H317">
            <v>214452</v>
          </cell>
          <cell r="I317">
            <v>4</v>
          </cell>
        </row>
        <row r="318">
          <cell r="A318">
            <v>60118244</v>
          </cell>
          <cell r="B318" t="str">
            <v>SANY</v>
          </cell>
          <cell r="C318" t="str">
            <v>SYZ440</v>
          </cell>
          <cell r="D318" t="str">
            <v>Door Lamp Switch</v>
          </cell>
          <cell r="E318">
            <v>2</v>
          </cell>
          <cell r="F318" t="str">
            <v>Insidentil</v>
          </cell>
          <cell r="G318" t="str">
            <v>Saklar lampu pintu</v>
          </cell>
          <cell r="H318">
            <v>89244</v>
          </cell>
          <cell r="I318">
            <v>113</v>
          </cell>
        </row>
        <row r="319">
          <cell r="A319" t="str">
            <v>152503990041A</v>
          </cell>
          <cell r="B319" t="str">
            <v>SANY</v>
          </cell>
          <cell r="C319" t="str">
            <v>SYZ440</v>
          </cell>
          <cell r="D319" t="str">
            <v>Quadruple Solenoid Valve</v>
          </cell>
          <cell r="E319">
            <v>1</v>
          </cell>
          <cell r="F319" t="str">
            <v>Insidentil</v>
          </cell>
          <cell r="G319" t="str">
            <v>Katup solenoid 4x</v>
          </cell>
          <cell r="H319">
            <v>1589076</v>
          </cell>
          <cell r="I319">
            <v>17</v>
          </cell>
        </row>
        <row r="320">
          <cell r="A320" t="str">
            <v>152503990041A001</v>
          </cell>
          <cell r="B320" t="str">
            <v>SANY</v>
          </cell>
          <cell r="C320" t="str">
            <v>SYZ440</v>
          </cell>
          <cell r="D320" t="str">
            <v>Solenoid Valve</v>
          </cell>
          <cell r="E320">
            <v>4</v>
          </cell>
          <cell r="F320" t="str">
            <v>Insidentil</v>
          </cell>
          <cell r="G320" t="str">
            <v>Koil solenoid</v>
          </cell>
          <cell r="H320">
            <v>321012</v>
          </cell>
          <cell r="I320">
            <v>0</v>
          </cell>
        </row>
        <row r="321">
          <cell r="A321" t="str">
            <v>160602010122A</v>
          </cell>
          <cell r="B321" t="str">
            <v>SANY</v>
          </cell>
          <cell r="C321" t="str">
            <v>SYZ440</v>
          </cell>
          <cell r="D321" t="str">
            <v>Desert air filter assembly</v>
          </cell>
          <cell r="E321">
            <v>1</v>
          </cell>
          <cell r="F321" t="str">
            <v>250 Jam</v>
          </cell>
          <cell r="G321" t="str">
            <v>Filter udara utama (desert)</v>
          </cell>
          <cell r="H321">
            <v>5144184</v>
          </cell>
          <cell r="I321">
            <v>1</v>
          </cell>
        </row>
        <row r="322">
          <cell r="A322" t="str">
            <v>160699000195A</v>
          </cell>
          <cell r="B322" t="str">
            <v>SANY</v>
          </cell>
          <cell r="C322" t="str">
            <v>SYZ440</v>
          </cell>
          <cell r="D322" t="str">
            <v>Inlet base assembly</v>
          </cell>
          <cell r="E322">
            <v>1</v>
          </cell>
          <cell r="F322" t="str">
            <v>Check berkala</v>
          </cell>
          <cell r="G322" t="str">
            <v>Basis masuk filter udara</v>
          </cell>
          <cell r="H322">
            <v>1846152</v>
          </cell>
          <cell r="I322">
            <v>2</v>
          </cell>
        </row>
        <row r="323">
          <cell r="A323">
            <v>60255461</v>
          </cell>
          <cell r="B323" t="str">
            <v>SANY</v>
          </cell>
          <cell r="C323" t="str">
            <v>SYZ440</v>
          </cell>
          <cell r="D323" t="str">
            <v>Washer Motor</v>
          </cell>
          <cell r="E323">
            <v>1</v>
          </cell>
          <cell r="F323" t="str">
            <v>Insidentil</v>
          </cell>
          <cell r="G323" t="str">
            <v>Motor pompa washer</v>
          </cell>
          <cell r="H323">
            <v>133200</v>
          </cell>
          <cell r="I323">
            <v>9</v>
          </cell>
        </row>
        <row r="324">
          <cell r="A324">
            <v>10208355</v>
          </cell>
          <cell r="B324" t="str">
            <v>SANY</v>
          </cell>
          <cell r="C324" t="str">
            <v>SYZ440</v>
          </cell>
          <cell r="D324" t="str">
            <v>Warning Scutcheon of No Washing</v>
          </cell>
          <cell r="E324">
            <v>1</v>
          </cell>
          <cell r="F324" t="str">
            <v>Insidentil</v>
          </cell>
          <cell r="G324" t="str">
            <v>Stiker peringatan</v>
          </cell>
          <cell r="H324">
            <v>6660.0000000000009</v>
          </cell>
          <cell r="I324">
            <v>1</v>
          </cell>
        </row>
        <row r="325">
          <cell r="A325">
            <v>10938393</v>
          </cell>
          <cell r="B325" t="str">
            <v>SANY</v>
          </cell>
          <cell r="C325" t="str">
            <v>SYZ440</v>
          </cell>
          <cell r="D325" t="str">
            <v>Mark of "No Sliding in Neutral Gear"</v>
          </cell>
          <cell r="E325">
            <v>1</v>
          </cell>
          <cell r="F325" t="str">
            <v>Insidentil</v>
          </cell>
          <cell r="G325" t="str">
            <v>Stiker larangan</v>
          </cell>
          <cell r="H325">
            <v>2664</v>
          </cell>
          <cell r="I325">
            <v>1</v>
          </cell>
        </row>
        <row r="326">
          <cell r="A326">
            <v>14008121</v>
          </cell>
          <cell r="B326" t="str">
            <v>SANY</v>
          </cell>
          <cell r="C326" t="str">
            <v>SYZ440</v>
          </cell>
          <cell r="D326" t="str">
            <v>Inter-axle Differential Warning Board</v>
          </cell>
          <cell r="E326">
            <v>1</v>
          </cell>
          <cell r="F326" t="str">
            <v>Insidentil</v>
          </cell>
          <cell r="G326" t="str">
            <v>Peringatan differential</v>
          </cell>
          <cell r="H326">
            <v>2664</v>
          </cell>
          <cell r="I326">
            <v>0</v>
          </cell>
        </row>
        <row r="327">
          <cell r="A327">
            <v>61013913</v>
          </cell>
          <cell r="B327" t="str">
            <v>SANY</v>
          </cell>
          <cell r="C327" t="str">
            <v>SYZ440</v>
          </cell>
          <cell r="D327" t="str">
            <v>Hook and Loop Safety Vest</v>
          </cell>
          <cell r="E327">
            <v>1</v>
          </cell>
          <cell r="F327" t="str">
            <v>Check berkala</v>
          </cell>
          <cell r="G327" t="str">
            <v>Rompi safety</v>
          </cell>
          <cell r="H327">
            <v>117216</v>
          </cell>
          <cell r="I327">
            <v>1</v>
          </cell>
        </row>
        <row r="328">
          <cell r="A328">
            <v>61013923</v>
          </cell>
          <cell r="B328" t="str">
            <v>SANY</v>
          </cell>
          <cell r="C328" t="str">
            <v>SYZ440</v>
          </cell>
          <cell r="D328" t="str">
            <v>Rubber Wheel Stop</v>
          </cell>
          <cell r="E328">
            <v>2</v>
          </cell>
          <cell r="F328" t="str">
            <v>Insidentil</v>
          </cell>
          <cell r="G328" t="str">
            <v>Penghenti roda (wheel chock)</v>
          </cell>
          <cell r="H328">
            <v>282384</v>
          </cell>
          <cell r="I328">
            <v>2</v>
          </cell>
        </row>
        <row r="329">
          <cell r="A329">
            <v>60335017</v>
          </cell>
          <cell r="B329" t="str">
            <v>SANY</v>
          </cell>
          <cell r="C329" t="str">
            <v>SYZ440</v>
          </cell>
          <cell r="D329" t="str">
            <v>Triangle Alarm Board</v>
          </cell>
          <cell r="E329">
            <v>1</v>
          </cell>
          <cell r="F329" t="str">
            <v>Check berkala</v>
          </cell>
          <cell r="G329" t="str">
            <v>Segitiga pengaman</v>
          </cell>
          <cell r="H329">
            <v>89244</v>
          </cell>
          <cell r="I3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2A53-78FB-40DF-A841-1D1B4150C207}">
  <dimension ref="A1:J79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RowHeight="14.4" x14ac:dyDescent="0.3"/>
  <cols>
    <col min="1" max="1" width="4" bestFit="1" customWidth="1"/>
    <col min="2" max="2" width="21.109375" style="3" bestFit="1" customWidth="1"/>
    <col min="3" max="3" width="9.33203125" style="10" bestFit="1" customWidth="1"/>
    <col min="4" max="4" width="11.44140625" style="8" bestFit="1" customWidth="1"/>
    <col min="5" max="5" width="38.6640625" style="10" bestFit="1" customWidth="1"/>
    <col min="6" max="6" width="14.77734375" style="8" bestFit="1" customWidth="1"/>
    <col min="7" max="8" width="35.21875" style="10" bestFit="1" customWidth="1"/>
    <col min="9" max="9" width="10" style="8" bestFit="1" customWidth="1"/>
    <col min="10" max="10" width="16.77734375" style="8" bestFit="1" customWidth="1"/>
  </cols>
  <sheetData>
    <row r="1" spans="1:10" s="12" customFormat="1" ht="18" x14ac:dyDescent="0.3">
      <c r="A1" s="4" t="s">
        <v>1311</v>
      </c>
      <c r="B1" s="4" t="s">
        <v>1301</v>
      </c>
      <c r="C1" s="5" t="s">
        <v>1302</v>
      </c>
      <c r="D1" s="5" t="s">
        <v>1303</v>
      </c>
      <c r="E1" s="5" t="s">
        <v>1304</v>
      </c>
      <c r="F1" s="5" t="s">
        <v>1305</v>
      </c>
      <c r="G1" s="5" t="s">
        <v>1306</v>
      </c>
      <c r="H1" s="5" t="s">
        <v>1307</v>
      </c>
      <c r="I1" s="6" t="s">
        <v>1308</v>
      </c>
      <c r="J1" s="5" t="s">
        <v>1309</v>
      </c>
    </row>
    <row r="2" spans="1:10" x14ac:dyDescent="0.3">
      <c r="A2" s="1">
        <v>1</v>
      </c>
      <c r="B2" s="7" t="s">
        <v>169</v>
      </c>
      <c r="C2" s="9" t="s">
        <v>1312</v>
      </c>
      <c r="D2" s="2">
        <v>75135</v>
      </c>
      <c r="E2" s="9" t="s">
        <v>170</v>
      </c>
      <c r="F2" s="2">
        <v>1</v>
      </c>
      <c r="G2" s="9" t="s">
        <v>63</v>
      </c>
      <c r="H2" s="9" t="s">
        <v>171</v>
      </c>
      <c r="I2" s="2"/>
      <c r="J2" s="2"/>
    </row>
    <row r="3" spans="1:10" x14ac:dyDescent="0.3">
      <c r="A3" s="1">
        <v>2</v>
      </c>
      <c r="B3" s="7" t="s">
        <v>172</v>
      </c>
      <c r="C3" s="9" t="s">
        <v>1312</v>
      </c>
      <c r="D3" s="2">
        <v>75135</v>
      </c>
      <c r="E3" s="9" t="s">
        <v>173</v>
      </c>
      <c r="F3" s="2">
        <v>2</v>
      </c>
      <c r="G3" s="9" t="s">
        <v>63</v>
      </c>
      <c r="H3" s="9" t="s">
        <v>174</v>
      </c>
      <c r="I3" s="2"/>
      <c r="J3" s="2"/>
    </row>
    <row r="4" spans="1:10" x14ac:dyDescent="0.3">
      <c r="A4" s="1">
        <v>3</v>
      </c>
      <c r="B4" s="7" t="s">
        <v>175</v>
      </c>
      <c r="C4" s="9" t="s">
        <v>1312</v>
      </c>
      <c r="D4" s="2">
        <v>75135</v>
      </c>
      <c r="E4" s="9" t="s">
        <v>176</v>
      </c>
      <c r="F4" s="2">
        <v>1</v>
      </c>
      <c r="G4" s="9" t="s">
        <v>69</v>
      </c>
      <c r="H4" s="9" t="s">
        <v>177</v>
      </c>
      <c r="I4" s="2"/>
      <c r="J4" s="2"/>
    </row>
    <row r="5" spans="1:10" x14ac:dyDescent="0.3">
      <c r="A5" s="1">
        <v>4</v>
      </c>
      <c r="B5" s="7" t="s">
        <v>178</v>
      </c>
      <c r="C5" s="9" t="s">
        <v>1312</v>
      </c>
      <c r="D5" s="2">
        <v>75135</v>
      </c>
      <c r="E5" s="9" t="s">
        <v>179</v>
      </c>
      <c r="F5" s="2">
        <v>1</v>
      </c>
      <c r="G5" s="9" t="s">
        <v>69</v>
      </c>
      <c r="H5" s="9" t="s">
        <v>180</v>
      </c>
      <c r="I5" s="2"/>
      <c r="J5" s="2"/>
    </row>
    <row r="6" spans="1:10" x14ac:dyDescent="0.3">
      <c r="A6" s="1">
        <v>5</v>
      </c>
      <c r="B6" s="7" t="s">
        <v>181</v>
      </c>
      <c r="C6" s="9" t="s">
        <v>1312</v>
      </c>
      <c r="D6" s="2">
        <v>75135</v>
      </c>
      <c r="E6" s="9" t="s">
        <v>182</v>
      </c>
      <c r="F6" s="2">
        <v>46</v>
      </c>
      <c r="G6" s="9" t="s">
        <v>69</v>
      </c>
      <c r="H6" s="9" t="s">
        <v>183</v>
      </c>
      <c r="I6" s="2"/>
      <c r="J6" s="2"/>
    </row>
    <row r="7" spans="1:10" x14ac:dyDescent="0.3">
      <c r="A7" s="1">
        <v>6</v>
      </c>
      <c r="B7" s="7" t="s">
        <v>184</v>
      </c>
      <c r="C7" s="9" t="s">
        <v>1312</v>
      </c>
      <c r="D7" s="2">
        <v>75135</v>
      </c>
      <c r="E7" s="9" t="s">
        <v>185</v>
      </c>
      <c r="F7" s="2">
        <v>1</v>
      </c>
      <c r="G7" s="9" t="s">
        <v>90</v>
      </c>
      <c r="H7" s="9" t="s">
        <v>186</v>
      </c>
      <c r="I7" s="2"/>
      <c r="J7" s="2"/>
    </row>
    <row r="8" spans="1:10" x14ac:dyDescent="0.3">
      <c r="A8" s="1">
        <v>7</v>
      </c>
      <c r="B8" s="7" t="s">
        <v>187</v>
      </c>
      <c r="C8" s="9" t="s">
        <v>1312</v>
      </c>
      <c r="D8" s="2">
        <v>75135</v>
      </c>
      <c r="E8" s="9" t="s">
        <v>188</v>
      </c>
      <c r="F8" s="2">
        <v>2</v>
      </c>
      <c r="G8" s="9" t="s">
        <v>63</v>
      </c>
      <c r="H8" s="9" t="s">
        <v>189</v>
      </c>
      <c r="I8" s="2"/>
      <c r="J8" s="2"/>
    </row>
    <row r="9" spans="1:10" x14ac:dyDescent="0.3">
      <c r="A9" s="1">
        <v>8</v>
      </c>
      <c r="B9" s="7" t="s">
        <v>190</v>
      </c>
      <c r="C9" s="9" t="s">
        <v>1312</v>
      </c>
      <c r="D9" s="2">
        <v>75135</v>
      </c>
      <c r="E9" s="9" t="s">
        <v>191</v>
      </c>
      <c r="F9" s="2">
        <v>2</v>
      </c>
      <c r="G9" s="9" t="s">
        <v>90</v>
      </c>
      <c r="H9" s="9" t="s">
        <v>191</v>
      </c>
      <c r="I9" s="2"/>
      <c r="J9" s="2"/>
    </row>
    <row r="10" spans="1:10" x14ac:dyDescent="0.3">
      <c r="A10" s="1">
        <v>9</v>
      </c>
      <c r="B10" s="7" t="s">
        <v>192</v>
      </c>
      <c r="C10" s="9" t="s">
        <v>1312</v>
      </c>
      <c r="D10" s="2">
        <v>75135</v>
      </c>
      <c r="E10" s="9" t="s">
        <v>193</v>
      </c>
      <c r="F10" s="2">
        <v>1</v>
      </c>
      <c r="G10" s="9" t="s">
        <v>90</v>
      </c>
      <c r="H10" s="9" t="s">
        <v>194</v>
      </c>
      <c r="I10" s="2"/>
      <c r="J10" s="2"/>
    </row>
    <row r="11" spans="1:10" x14ac:dyDescent="0.3">
      <c r="A11" s="1">
        <v>10</v>
      </c>
      <c r="B11" s="7" t="s">
        <v>195</v>
      </c>
      <c r="C11" s="9" t="s">
        <v>1312</v>
      </c>
      <c r="D11" s="2">
        <v>75135</v>
      </c>
      <c r="E11" s="9" t="s">
        <v>196</v>
      </c>
      <c r="F11" s="2">
        <v>1</v>
      </c>
      <c r="G11" s="9" t="s">
        <v>90</v>
      </c>
      <c r="H11" s="9" t="s">
        <v>197</v>
      </c>
      <c r="I11" s="2"/>
      <c r="J11" s="2"/>
    </row>
    <row r="12" spans="1:10" x14ac:dyDescent="0.3">
      <c r="A12" s="1">
        <v>11</v>
      </c>
      <c r="B12" s="7" t="s">
        <v>198</v>
      </c>
      <c r="C12" s="9" t="s">
        <v>1312</v>
      </c>
      <c r="D12" s="2">
        <v>75135</v>
      </c>
      <c r="E12" s="9" t="s">
        <v>199</v>
      </c>
      <c r="F12" s="2">
        <v>1</v>
      </c>
      <c r="G12" s="9" t="s">
        <v>84</v>
      </c>
      <c r="H12" s="9" t="s">
        <v>200</v>
      </c>
      <c r="I12" s="2"/>
      <c r="J12" s="2"/>
    </row>
    <row r="13" spans="1:10" x14ac:dyDescent="0.3">
      <c r="A13" s="1">
        <v>12</v>
      </c>
      <c r="B13" s="7" t="s">
        <v>201</v>
      </c>
      <c r="C13" s="9" t="s">
        <v>1312</v>
      </c>
      <c r="D13" s="2">
        <v>75135</v>
      </c>
      <c r="E13" s="9" t="s">
        <v>202</v>
      </c>
      <c r="F13" s="2">
        <v>1</v>
      </c>
      <c r="G13" s="9" t="s">
        <v>90</v>
      </c>
      <c r="H13" s="9" t="s">
        <v>203</v>
      </c>
      <c r="I13" s="2"/>
      <c r="J13" s="2"/>
    </row>
    <row r="14" spans="1:10" x14ac:dyDescent="0.3">
      <c r="A14" s="1">
        <v>13</v>
      </c>
      <c r="B14" s="7" t="s">
        <v>204</v>
      </c>
      <c r="C14" s="9" t="s">
        <v>1312</v>
      </c>
      <c r="D14" s="2">
        <v>75135</v>
      </c>
      <c r="E14" s="9" t="s">
        <v>205</v>
      </c>
      <c r="F14" s="2">
        <v>1</v>
      </c>
      <c r="G14" s="9" t="s">
        <v>84</v>
      </c>
      <c r="H14" s="9" t="s">
        <v>206</v>
      </c>
      <c r="I14" s="2"/>
      <c r="J14" s="2"/>
    </row>
    <row r="15" spans="1:10" x14ac:dyDescent="0.3">
      <c r="A15" s="1">
        <v>14</v>
      </c>
      <c r="B15" s="7" t="s">
        <v>207</v>
      </c>
      <c r="C15" s="9" t="s">
        <v>1312</v>
      </c>
      <c r="D15" s="2">
        <v>75135</v>
      </c>
      <c r="E15" s="9" t="s">
        <v>208</v>
      </c>
      <c r="F15" s="2">
        <v>3</v>
      </c>
      <c r="G15" s="9" t="s">
        <v>84</v>
      </c>
      <c r="H15" s="9" t="s">
        <v>209</v>
      </c>
      <c r="I15" s="2"/>
      <c r="J15" s="2"/>
    </row>
    <row r="16" spans="1:10" x14ac:dyDescent="0.3">
      <c r="A16" s="1">
        <v>15</v>
      </c>
      <c r="B16" s="7" t="s">
        <v>210</v>
      </c>
      <c r="C16" s="9" t="s">
        <v>1312</v>
      </c>
      <c r="D16" s="2">
        <v>75135</v>
      </c>
      <c r="E16" s="9" t="s">
        <v>211</v>
      </c>
      <c r="F16" s="2">
        <v>1</v>
      </c>
      <c r="G16" s="9" t="s">
        <v>90</v>
      </c>
      <c r="H16" s="9" t="s">
        <v>212</v>
      </c>
      <c r="I16" s="2"/>
      <c r="J16" s="2"/>
    </row>
    <row r="17" spans="1:10" x14ac:dyDescent="0.3">
      <c r="A17" s="1">
        <v>16</v>
      </c>
      <c r="B17" s="7" t="s">
        <v>213</v>
      </c>
      <c r="C17" s="9" t="s">
        <v>1312</v>
      </c>
      <c r="D17" s="2">
        <v>75135</v>
      </c>
      <c r="E17" s="9" t="s">
        <v>214</v>
      </c>
      <c r="F17" s="2">
        <v>1</v>
      </c>
      <c r="G17" s="9" t="s">
        <v>90</v>
      </c>
      <c r="H17" s="9" t="s">
        <v>215</v>
      </c>
      <c r="I17" s="2"/>
      <c r="J17" s="2"/>
    </row>
    <row r="18" spans="1:10" x14ac:dyDescent="0.3">
      <c r="A18" s="1">
        <v>17</v>
      </c>
      <c r="B18" s="7" t="s">
        <v>216</v>
      </c>
      <c r="C18" s="9" t="s">
        <v>1312</v>
      </c>
      <c r="D18" s="2">
        <v>75135</v>
      </c>
      <c r="E18" s="9" t="s">
        <v>217</v>
      </c>
      <c r="F18" s="2">
        <v>6</v>
      </c>
      <c r="G18" s="9" t="s">
        <v>69</v>
      </c>
      <c r="H18" s="9" t="s">
        <v>218</v>
      </c>
      <c r="I18" s="2"/>
      <c r="J18" s="2"/>
    </row>
    <row r="19" spans="1:10" x14ac:dyDescent="0.3">
      <c r="A19" s="1">
        <v>18</v>
      </c>
      <c r="B19" s="7" t="s">
        <v>219</v>
      </c>
      <c r="C19" s="9" t="s">
        <v>1312</v>
      </c>
      <c r="D19" s="2">
        <v>75135</v>
      </c>
      <c r="E19" s="9" t="s">
        <v>220</v>
      </c>
      <c r="F19" s="2">
        <v>1</v>
      </c>
      <c r="G19" s="9" t="s">
        <v>90</v>
      </c>
      <c r="H19" s="9" t="s">
        <v>221</v>
      </c>
      <c r="I19" s="2"/>
      <c r="J19" s="2"/>
    </row>
    <row r="20" spans="1:10" x14ac:dyDescent="0.3">
      <c r="A20" s="1">
        <v>19</v>
      </c>
      <c r="B20" s="7" t="s">
        <v>222</v>
      </c>
      <c r="C20" s="9" t="s">
        <v>1312</v>
      </c>
      <c r="D20" s="2">
        <v>75135</v>
      </c>
      <c r="E20" s="9" t="s">
        <v>223</v>
      </c>
      <c r="F20" s="2">
        <v>8</v>
      </c>
      <c r="G20" s="9" t="s">
        <v>84</v>
      </c>
      <c r="H20" s="9" t="s">
        <v>224</v>
      </c>
      <c r="I20" s="2"/>
      <c r="J20" s="2"/>
    </row>
    <row r="21" spans="1:10" x14ac:dyDescent="0.3">
      <c r="A21" s="1">
        <v>20</v>
      </c>
      <c r="B21" s="7" t="s">
        <v>225</v>
      </c>
      <c r="C21" s="9" t="s">
        <v>1312</v>
      </c>
      <c r="D21" s="2">
        <v>75135</v>
      </c>
      <c r="E21" s="9" t="s">
        <v>226</v>
      </c>
      <c r="F21" s="2">
        <v>2</v>
      </c>
      <c r="G21" s="9" t="s">
        <v>90</v>
      </c>
      <c r="H21" s="9" t="s">
        <v>227</v>
      </c>
      <c r="I21" s="2"/>
      <c r="J21" s="2"/>
    </row>
    <row r="22" spans="1:10" x14ac:dyDescent="0.3">
      <c r="A22" s="1">
        <v>21</v>
      </c>
      <c r="B22" s="7" t="s">
        <v>228</v>
      </c>
      <c r="C22" s="9" t="s">
        <v>1312</v>
      </c>
      <c r="D22" s="2">
        <v>75135</v>
      </c>
      <c r="E22" s="9" t="s">
        <v>226</v>
      </c>
      <c r="F22" s="2">
        <v>8</v>
      </c>
      <c r="G22" s="9" t="s">
        <v>90</v>
      </c>
      <c r="H22" s="9" t="s">
        <v>229</v>
      </c>
      <c r="I22" s="2"/>
      <c r="J22" s="2"/>
    </row>
    <row r="23" spans="1:10" x14ac:dyDescent="0.3">
      <c r="A23" s="1">
        <v>22</v>
      </c>
      <c r="B23" s="7" t="s">
        <v>230</v>
      </c>
      <c r="C23" s="9" t="s">
        <v>1312</v>
      </c>
      <c r="D23" s="2">
        <v>75135</v>
      </c>
      <c r="E23" s="9" t="s">
        <v>231</v>
      </c>
      <c r="F23" s="2">
        <v>1</v>
      </c>
      <c r="G23" s="9" t="s">
        <v>90</v>
      </c>
      <c r="H23" s="9" t="s">
        <v>232</v>
      </c>
      <c r="I23" s="2"/>
      <c r="J23" s="2"/>
    </row>
    <row r="24" spans="1:10" x14ac:dyDescent="0.3">
      <c r="A24" s="1">
        <v>23</v>
      </c>
      <c r="B24" s="7" t="s">
        <v>233</v>
      </c>
      <c r="C24" s="9" t="s">
        <v>1312</v>
      </c>
      <c r="D24" s="2">
        <v>75135</v>
      </c>
      <c r="E24" s="9" t="s">
        <v>234</v>
      </c>
      <c r="F24" s="2">
        <v>2</v>
      </c>
      <c r="G24" s="9" t="s">
        <v>90</v>
      </c>
      <c r="H24" s="9" t="s">
        <v>235</v>
      </c>
      <c r="I24" s="2"/>
      <c r="J24" s="2"/>
    </row>
    <row r="25" spans="1:10" x14ac:dyDescent="0.3">
      <c r="A25" s="1">
        <v>24</v>
      </c>
      <c r="B25" s="7" t="s">
        <v>236</v>
      </c>
      <c r="C25" s="9" t="s">
        <v>1312</v>
      </c>
      <c r="D25" s="2">
        <v>75135</v>
      </c>
      <c r="E25" s="9" t="s">
        <v>237</v>
      </c>
      <c r="F25" s="2">
        <v>1</v>
      </c>
      <c r="G25" s="9" t="s">
        <v>90</v>
      </c>
      <c r="H25" s="9" t="s">
        <v>238</v>
      </c>
      <c r="I25" s="2"/>
      <c r="J25" s="2"/>
    </row>
    <row r="26" spans="1:10" x14ac:dyDescent="0.3">
      <c r="A26" s="1">
        <v>25</v>
      </c>
      <c r="B26" s="7" t="s">
        <v>239</v>
      </c>
      <c r="C26" s="9" t="s">
        <v>1312</v>
      </c>
      <c r="D26" s="2">
        <v>75135</v>
      </c>
      <c r="E26" s="9" t="s">
        <v>240</v>
      </c>
      <c r="F26" s="2">
        <v>2</v>
      </c>
      <c r="G26" s="9" t="s">
        <v>90</v>
      </c>
      <c r="H26" s="9" t="s">
        <v>241</v>
      </c>
      <c r="I26" s="2"/>
      <c r="J26" s="2"/>
    </row>
    <row r="27" spans="1:10" x14ac:dyDescent="0.3">
      <c r="A27" s="1">
        <v>26</v>
      </c>
      <c r="B27" s="7" t="s">
        <v>242</v>
      </c>
      <c r="C27" s="9" t="s">
        <v>1312</v>
      </c>
      <c r="D27" s="2">
        <v>75135</v>
      </c>
      <c r="E27" s="9" t="s">
        <v>243</v>
      </c>
      <c r="F27" s="2">
        <v>2</v>
      </c>
      <c r="G27" s="9" t="s">
        <v>90</v>
      </c>
      <c r="H27" s="9" t="s">
        <v>244</v>
      </c>
      <c r="I27" s="2"/>
      <c r="J27" s="2"/>
    </row>
    <row r="28" spans="1:10" x14ac:dyDescent="0.3">
      <c r="A28" s="1">
        <v>27</v>
      </c>
      <c r="B28" s="7" t="s">
        <v>245</v>
      </c>
      <c r="C28" s="9" t="s">
        <v>1312</v>
      </c>
      <c r="D28" s="2">
        <v>75135</v>
      </c>
      <c r="E28" s="9" t="s">
        <v>246</v>
      </c>
      <c r="F28" s="2">
        <v>2</v>
      </c>
      <c r="G28" s="9" t="s">
        <v>151</v>
      </c>
      <c r="H28" s="9" t="s">
        <v>247</v>
      </c>
      <c r="I28" s="2"/>
      <c r="J28" s="2"/>
    </row>
    <row r="29" spans="1:10" x14ac:dyDescent="0.3">
      <c r="A29" s="1">
        <v>28</v>
      </c>
      <c r="B29" s="7" t="s">
        <v>248</v>
      </c>
      <c r="C29" s="9" t="s">
        <v>1312</v>
      </c>
      <c r="D29" s="2">
        <v>75135</v>
      </c>
      <c r="E29" s="9" t="s">
        <v>249</v>
      </c>
      <c r="F29" s="2">
        <v>1</v>
      </c>
      <c r="G29" s="9" t="s">
        <v>90</v>
      </c>
      <c r="H29" s="9" t="s">
        <v>250</v>
      </c>
      <c r="I29" s="2"/>
      <c r="J29" s="2"/>
    </row>
    <row r="30" spans="1:10" x14ac:dyDescent="0.3">
      <c r="A30" s="1">
        <v>29</v>
      </c>
      <c r="B30" s="7" t="s">
        <v>251</v>
      </c>
      <c r="C30" s="9" t="s">
        <v>1312</v>
      </c>
      <c r="D30" s="2">
        <v>75135</v>
      </c>
      <c r="E30" s="9" t="s">
        <v>252</v>
      </c>
      <c r="F30" s="2">
        <v>1</v>
      </c>
      <c r="G30" s="9" t="s">
        <v>84</v>
      </c>
      <c r="H30" s="9" t="s">
        <v>253</v>
      </c>
      <c r="I30" s="2"/>
      <c r="J30" s="2"/>
    </row>
    <row r="31" spans="1:10" x14ac:dyDescent="0.3">
      <c r="A31" s="1">
        <v>30</v>
      </c>
      <c r="B31" s="7" t="s">
        <v>254</v>
      </c>
      <c r="C31" s="9" t="s">
        <v>1312</v>
      </c>
      <c r="D31" s="2">
        <v>75135</v>
      </c>
      <c r="E31" s="9" t="s">
        <v>252</v>
      </c>
      <c r="F31" s="2">
        <v>8</v>
      </c>
      <c r="G31" s="9" t="s">
        <v>84</v>
      </c>
      <c r="H31" s="9" t="s">
        <v>253</v>
      </c>
      <c r="I31" s="2"/>
      <c r="J31" s="2"/>
    </row>
    <row r="32" spans="1:10" x14ac:dyDescent="0.3">
      <c r="A32" s="1">
        <v>31</v>
      </c>
      <c r="B32" s="7" t="s">
        <v>255</v>
      </c>
      <c r="C32" s="9" t="s">
        <v>1312</v>
      </c>
      <c r="D32" s="2">
        <v>75135</v>
      </c>
      <c r="E32" s="9" t="s">
        <v>145</v>
      </c>
      <c r="F32" s="2">
        <v>3</v>
      </c>
      <c r="G32" s="9" t="s">
        <v>84</v>
      </c>
      <c r="H32" s="9" t="s">
        <v>256</v>
      </c>
      <c r="I32" s="2"/>
      <c r="J32" s="2"/>
    </row>
    <row r="33" spans="1:10" x14ac:dyDescent="0.3">
      <c r="A33" s="1">
        <v>32</v>
      </c>
      <c r="B33" s="7" t="s">
        <v>257</v>
      </c>
      <c r="C33" s="9" t="s">
        <v>1312</v>
      </c>
      <c r="D33" s="2">
        <v>75135</v>
      </c>
      <c r="E33" s="9" t="s">
        <v>145</v>
      </c>
      <c r="F33" s="2">
        <v>2</v>
      </c>
      <c r="G33" s="9" t="s">
        <v>84</v>
      </c>
      <c r="H33" s="9" t="s">
        <v>258</v>
      </c>
      <c r="I33" s="2"/>
      <c r="J33" s="2"/>
    </row>
    <row r="34" spans="1:10" x14ac:dyDescent="0.3">
      <c r="A34" s="1">
        <v>33</v>
      </c>
      <c r="B34" s="7" t="s">
        <v>259</v>
      </c>
      <c r="C34" s="9" t="s">
        <v>1312</v>
      </c>
      <c r="D34" s="2">
        <v>75135</v>
      </c>
      <c r="E34" s="9" t="s">
        <v>260</v>
      </c>
      <c r="F34" s="2">
        <v>2</v>
      </c>
      <c r="G34" s="9" t="s">
        <v>84</v>
      </c>
      <c r="H34" s="9" t="s">
        <v>261</v>
      </c>
      <c r="I34" s="2"/>
      <c r="J34" s="2"/>
    </row>
    <row r="35" spans="1:10" x14ac:dyDescent="0.3">
      <c r="A35" s="1">
        <v>34</v>
      </c>
      <c r="B35" s="7" t="s">
        <v>262</v>
      </c>
      <c r="C35" s="9" t="s">
        <v>1312</v>
      </c>
      <c r="D35" s="2">
        <v>75135</v>
      </c>
      <c r="E35" s="9" t="s">
        <v>263</v>
      </c>
      <c r="F35" s="2">
        <v>4</v>
      </c>
      <c r="G35" s="9" t="s">
        <v>151</v>
      </c>
      <c r="H35" s="9" t="s">
        <v>152</v>
      </c>
      <c r="I35" s="2"/>
      <c r="J35" s="2"/>
    </row>
    <row r="36" spans="1:10" x14ac:dyDescent="0.3">
      <c r="A36" s="1">
        <v>35</v>
      </c>
      <c r="B36" s="7" t="s">
        <v>264</v>
      </c>
      <c r="C36" s="9" t="s">
        <v>1312</v>
      </c>
      <c r="D36" s="2">
        <v>75135</v>
      </c>
      <c r="E36" s="9" t="s">
        <v>265</v>
      </c>
      <c r="F36" s="2">
        <v>2</v>
      </c>
      <c r="G36" s="9" t="s">
        <v>90</v>
      </c>
      <c r="H36" s="9" t="s">
        <v>266</v>
      </c>
      <c r="I36" s="2"/>
      <c r="J36" s="2"/>
    </row>
    <row r="37" spans="1:10" x14ac:dyDescent="0.3">
      <c r="A37" s="1">
        <v>36</v>
      </c>
      <c r="B37" s="7" t="s">
        <v>267</v>
      </c>
      <c r="C37" s="9" t="s">
        <v>1312</v>
      </c>
      <c r="D37" s="2">
        <v>75135</v>
      </c>
      <c r="E37" s="9" t="s">
        <v>268</v>
      </c>
      <c r="F37" s="2">
        <v>1</v>
      </c>
      <c r="G37" s="9" t="s">
        <v>90</v>
      </c>
      <c r="H37" s="9" t="s">
        <v>269</v>
      </c>
      <c r="I37" s="2"/>
      <c r="J37" s="2"/>
    </row>
    <row r="38" spans="1:10" x14ac:dyDescent="0.3">
      <c r="A38" s="1">
        <v>37</v>
      </c>
      <c r="B38" s="7" t="s">
        <v>270</v>
      </c>
      <c r="C38" s="9" t="s">
        <v>1312</v>
      </c>
      <c r="D38" s="2">
        <v>75135</v>
      </c>
      <c r="E38" s="9" t="s">
        <v>271</v>
      </c>
      <c r="F38" s="2">
        <v>1</v>
      </c>
      <c r="G38" s="9" t="s">
        <v>90</v>
      </c>
      <c r="H38" s="9" t="s">
        <v>272</v>
      </c>
      <c r="I38" s="2"/>
      <c r="J38" s="2"/>
    </row>
    <row r="39" spans="1:10" x14ac:dyDescent="0.3">
      <c r="A39" s="1">
        <v>38</v>
      </c>
      <c r="B39" s="7" t="s">
        <v>273</v>
      </c>
      <c r="C39" s="9" t="s">
        <v>1312</v>
      </c>
      <c r="D39" s="2">
        <v>75135</v>
      </c>
      <c r="E39" s="9" t="s">
        <v>274</v>
      </c>
      <c r="F39" s="2">
        <v>1</v>
      </c>
      <c r="G39" s="9" t="s">
        <v>90</v>
      </c>
      <c r="H39" s="9" t="s">
        <v>275</v>
      </c>
      <c r="I39" s="2"/>
      <c r="J39" s="2"/>
    </row>
    <row r="40" spans="1:10" x14ac:dyDescent="0.3">
      <c r="A40" s="1">
        <v>39</v>
      </c>
      <c r="B40" s="7" t="s">
        <v>276</v>
      </c>
      <c r="C40" s="9" t="s">
        <v>1312</v>
      </c>
      <c r="D40" s="2">
        <v>75135</v>
      </c>
      <c r="E40" s="9" t="s">
        <v>277</v>
      </c>
      <c r="F40" s="2">
        <v>1</v>
      </c>
      <c r="G40" s="9" t="s">
        <v>90</v>
      </c>
      <c r="H40" s="9" t="s">
        <v>278</v>
      </c>
      <c r="I40" s="2"/>
      <c r="J40" s="2"/>
    </row>
    <row r="41" spans="1:10" x14ac:dyDescent="0.3">
      <c r="A41" s="1">
        <v>40</v>
      </c>
      <c r="B41" s="7" t="s">
        <v>279</v>
      </c>
      <c r="C41" s="9" t="s">
        <v>1312</v>
      </c>
      <c r="D41" s="2">
        <v>75135</v>
      </c>
      <c r="E41" s="9" t="s">
        <v>280</v>
      </c>
      <c r="F41" s="2">
        <v>1</v>
      </c>
      <c r="G41" s="9" t="s">
        <v>84</v>
      </c>
      <c r="H41" s="9" t="s">
        <v>281</v>
      </c>
      <c r="I41" s="2"/>
      <c r="J41" s="2"/>
    </row>
    <row r="42" spans="1:10" x14ac:dyDescent="0.3">
      <c r="A42" s="1">
        <v>41</v>
      </c>
      <c r="B42" s="7" t="s">
        <v>282</v>
      </c>
      <c r="C42" s="9" t="s">
        <v>1312</v>
      </c>
      <c r="D42" s="2">
        <v>75135</v>
      </c>
      <c r="E42" s="9" t="s">
        <v>283</v>
      </c>
      <c r="F42" s="2">
        <v>1</v>
      </c>
      <c r="G42" s="9" t="s">
        <v>90</v>
      </c>
      <c r="H42" s="9" t="s">
        <v>284</v>
      </c>
      <c r="I42" s="2"/>
      <c r="J42" s="2"/>
    </row>
    <row r="43" spans="1:10" x14ac:dyDescent="0.3">
      <c r="A43" s="1">
        <v>42</v>
      </c>
      <c r="B43" s="7" t="s">
        <v>285</v>
      </c>
      <c r="C43" s="9" t="s">
        <v>1312</v>
      </c>
      <c r="D43" s="2">
        <v>75135</v>
      </c>
      <c r="E43" s="9" t="s">
        <v>286</v>
      </c>
      <c r="F43" s="2">
        <v>1</v>
      </c>
      <c r="G43" s="9" t="s">
        <v>90</v>
      </c>
      <c r="H43" s="9" t="s">
        <v>287</v>
      </c>
      <c r="I43" s="2"/>
      <c r="J43" s="2"/>
    </row>
    <row r="44" spans="1:10" x14ac:dyDescent="0.3">
      <c r="A44" s="1">
        <v>43</v>
      </c>
      <c r="B44" s="7" t="s">
        <v>165</v>
      </c>
      <c r="C44" s="9" t="s">
        <v>1312</v>
      </c>
      <c r="D44" s="2">
        <v>75135</v>
      </c>
      <c r="E44" s="9" t="s">
        <v>166</v>
      </c>
      <c r="F44" s="2">
        <v>1</v>
      </c>
      <c r="G44" s="9" t="s">
        <v>167</v>
      </c>
      <c r="H44" s="9" t="s">
        <v>168</v>
      </c>
      <c r="I44" s="2"/>
      <c r="J44" s="2"/>
    </row>
    <row r="45" spans="1:10" x14ac:dyDescent="0.3">
      <c r="A45" s="1">
        <v>44</v>
      </c>
      <c r="B45" s="7" t="s">
        <v>288</v>
      </c>
      <c r="C45" s="9" t="s">
        <v>1312</v>
      </c>
      <c r="D45" s="2">
        <v>75135</v>
      </c>
      <c r="E45" s="9" t="s">
        <v>289</v>
      </c>
      <c r="F45" s="2">
        <v>1</v>
      </c>
      <c r="G45" s="9" t="s">
        <v>167</v>
      </c>
      <c r="H45" s="9" t="s">
        <v>290</v>
      </c>
      <c r="I45" s="2"/>
      <c r="J45" s="2"/>
    </row>
    <row r="46" spans="1:10" x14ac:dyDescent="0.3">
      <c r="A46" s="1">
        <v>45</v>
      </c>
      <c r="B46" s="7" t="s">
        <v>966</v>
      </c>
      <c r="C46" s="9" t="s">
        <v>1312</v>
      </c>
      <c r="D46" s="2">
        <v>7555</v>
      </c>
      <c r="E46" s="9" t="s">
        <v>967</v>
      </c>
      <c r="F46" s="2"/>
      <c r="G46" s="9" t="s">
        <v>3</v>
      </c>
      <c r="H46" s="9" t="s">
        <v>4</v>
      </c>
      <c r="I46" s="2"/>
      <c r="J46" s="2"/>
    </row>
    <row r="47" spans="1:10" x14ac:dyDescent="0.3">
      <c r="A47" s="1">
        <v>46</v>
      </c>
      <c r="B47" s="7" t="s">
        <v>977</v>
      </c>
      <c r="C47" s="9" t="s">
        <v>1312</v>
      </c>
      <c r="D47" s="2">
        <v>7555</v>
      </c>
      <c r="E47" s="9" t="s">
        <v>978</v>
      </c>
      <c r="F47" s="2"/>
      <c r="G47" s="9" t="s">
        <v>13</v>
      </c>
      <c r="H47" s="9" t="s">
        <v>14</v>
      </c>
      <c r="I47" s="2"/>
      <c r="J47" s="2"/>
    </row>
    <row r="48" spans="1:10" x14ac:dyDescent="0.3">
      <c r="A48" s="1">
        <v>47</v>
      </c>
      <c r="B48" s="7" t="s">
        <v>979</v>
      </c>
      <c r="C48" s="9" t="s">
        <v>1312</v>
      </c>
      <c r="D48" s="2">
        <v>7555</v>
      </c>
      <c r="E48" s="9" t="s">
        <v>1021</v>
      </c>
      <c r="F48" s="2"/>
      <c r="G48" s="9" t="s">
        <v>59</v>
      </c>
      <c r="H48" s="9" t="s">
        <v>57</v>
      </c>
      <c r="I48" s="2"/>
      <c r="J48" s="2"/>
    </row>
    <row r="49" spans="1:10" x14ac:dyDescent="0.3">
      <c r="A49" s="1">
        <v>48</v>
      </c>
      <c r="B49" s="7" t="s">
        <v>993</v>
      </c>
      <c r="C49" s="9" t="s">
        <v>1312</v>
      </c>
      <c r="D49" s="2">
        <v>7555</v>
      </c>
      <c r="E49" s="9" t="s">
        <v>1022</v>
      </c>
      <c r="F49" s="2"/>
      <c r="G49" s="9" t="s">
        <v>21</v>
      </c>
      <c r="H49" s="9" t="s">
        <v>22</v>
      </c>
      <c r="I49" s="2"/>
      <c r="J49" s="2"/>
    </row>
    <row r="50" spans="1:10" x14ac:dyDescent="0.3">
      <c r="A50" s="1">
        <v>49</v>
      </c>
      <c r="B50" s="7" t="s">
        <v>986</v>
      </c>
      <c r="C50" s="9" t="s">
        <v>1312</v>
      </c>
      <c r="D50" s="2">
        <v>7555</v>
      </c>
      <c r="E50" s="9" t="s">
        <v>987</v>
      </c>
      <c r="F50" s="2"/>
      <c r="G50" s="9" t="s">
        <v>988</v>
      </c>
      <c r="H50" s="9" t="s">
        <v>951</v>
      </c>
      <c r="I50" s="2"/>
      <c r="J50" s="2"/>
    </row>
    <row r="51" spans="1:10" x14ac:dyDescent="0.3">
      <c r="A51" s="1">
        <v>50</v>
      </c>
      <c r="B51" s="7" t="s">
        <v>999</v>
      </c>
      <c r="C51" s="9" t="s">
        <v>1312</v>
      </c>
      <c r="D51" s="2">
        <v>7555</v>
      </c>
      <c r="E51" s="9" t="s">
        <v>1000</v>
      </c>
      <c r="F51" s="2"/>
      <c r="G51" s="9" t="s">
        <v>26</v>
      </c>
      <c r="H51" s="9" t="s">
        <v>27</v>
      </c>
      <c r="I51" s="2"/>
      <c r="J51" s="2"/>
    </row>
    <row r="52" spans="1:10" x14ac:dyDescent="0.3">
      <c r="A52" s="1">
        <v>51</v>
      </c>
      <c r="B52" s="7" t="s">
        <v>1003</v>
      </c>
      <c r="C52" s="9" t="s">
        <v>1312</v>
      </c>
      <c r="D52" s="2">
        <v>7555</v>
      </c>
      <c r="E52" s="9" t="s">
        <v>1023</v>
      </c>
      <c r="F52" s="2"/>
      <c r="G52" s="9" t="s">
        <v>49</v>
      </c>
      <c r="H52" s="9" t="s">
        <v>50</v>
      </c>
      <c r="I52" s="2"/>
      <c r="J52" s="2"/>
    </row>
    <row r="53" spans="1:10" x14ac:dyDescent="0.3">
      <c r="A53" s="1">
        <v>52</v>
      </c>
      <c r="B53" s="7" t="s">
        <v>1007</v>
      </c>
      <c r="C53" s="9" t="s">
        <v>1312</v>
      </c>
      <c r="D53" s="2">
        <v>7555</v>
      </c>
      <c r="E53" s="9" t="s">
        <v>1024</v>
      </c>
      <c r="F53" s="2"/>
      <c r="G53" s="9" t="s">
        <v>40</v>
      </c>
      <c r="H53" s="9" t="s">
        <v>47</v>
      </c>
      <c r="I53" s="2"/>
      <c r="J53" s="2"/>
    </row>
    <row r="54" spans="1:10" x14ac:dyDescent="0.3">
      <c r="A54" s="1">
        <v>53</v>
      </c>
      <c r="B54" s="7" t="s">
        <v>1009</v>
      </c>
      <c r="C54" s="9" t="s">
        <v>1312</v>
      </c>
      <c r="D54" s="2">
        <v>7555</v>
      </c>
      <c r="E54" s="9" t="s">
        <v>1010</v>
      </c>
      <c r="F54" s="2"/>
      <c r="G54" s="9" t="s">
        <v>58</v>
      </c>
      <c r="H54" s="9" t="s">
        <v>56</v>
      </c>
      <c r="I54" s="2"/>
      <c r="J54" s="2"/>
    </row>
    <row r="55" spans="1:10" x14ac:dyDescent="0.3">
      <c r="A55" s="1">
        <v>54</v>
      </c>
      <c r="B55" s="7" t="s">
        <v>1011</v>
      </c>
      <c r="C55" s="9" t="s">
        <v>1312</v>
      </c>
      <c r="D55" s="2">
        <v>7555</v>
      </c>
      <c r="E55" s="9" t="s">
        <v>1012</v>
      </c>
      <c r="F55" s="2"/>
      <c r="G55" s="9" t="s">
        <v>40</v>
      </c>
      <c r="H55" s="9" t="s">
        <v>1013</v>
      </c>
      <c r="I55" s="2"/>
      <c r="J55" s="2"/>
    </row>
    <row r="56" spans="1:10" x14ac:dyDescent="0.3">
      <c r="A56" s="1">
        <v>55</v>
      </c>
      <c r="B56" s="7" t="s">
        <v>1016</v>
      </c>
      <c r="C56" s="9" t="s">
        <v>1312</v>
      </c>
      <c r="D56" s="2">
        <v>7555</v>
      </c>
      <c r="E56" s="9" t="s">
        <v>51</v>
      </c>
      <c r="F56" s="2"/>
      <c r="G56" s="9" t="s">
        <v>49</v>
      </c>
      <c r="H56" s="9" t="s">
        <v>27</v>
      </c>
      <c r="I56" s="2"/>
      <c r="J56" s="2"/>
    </row>
    <row r="57" spans="1:10" x14ac:dyDescent="0.3">
      <c r="A57" s="1">
        <v>56</v>
      </c>
      <c r="B57" s="7" t="s">
        <v>989</v>
      </c>
      <c r="C57" s="9" t="s">
        <v>1312</v>
      </c>
      <c r="D57" s="2">
        <v>7555</v>
      </c>
      <c r="E57" s="9" t="s">
        <v>1018</v>
      </c>
      <c r="F57" s="2"/>
      <c r="G57" s="9" t="s">
        <v>49</v>
      </c>
      <c r="H57" s="9" t="s">
        <v>57</v>
      </c>
      <c r="I57" s="2"/>
      <c r="J57" s="2"/>
    </row>
    <row r="58" spans="1:10" x14ac:dyDescent="0.3">
      <c r="A58" s="1">
        <v>57</v>
      </c>
      <c r="B58" s="7" t="s">
        <v>1017</v>
      </c>
      <c r="C58" s="9" t="s">
        <v>1312</v>
      </c>
      <c r="D58" s="2">
        <v>7555</v>
      </c>
      <c r="E58" s="9" t="s">
        <v>1018</v>
      </c>
      <c r="F58" s="2"/>
      <c r="G58" s="9" t="s">
        <v>49</v>
      </c>
      <c r="H58" s="9" t="s">
        <v>57</v>
      </c>
      <c r="I58" s="2"/>
      <c r="J58" s="2"/>
    </row>
    <row r="59" spans="1:10" x14ac:dyDescent="0.3">
      <c r="A59" s="1">
        <v>58</v>
      </c>
      <c r="B59" s="7" t="s">
        <v>966</v>
      </c>
      <c r="C59" s="9" t="s">
        <v>1312</v>
      </c>
      <c r="D59" s="2">
        <v>75710</v>
      </c>
      <c r="E59" s="9" t="s">
        <v>967</v>
      </c>
      <c r="F59" s="2"/>
      <c r="G59" s="9" t="s">
        <v>3</v>
      </c>
      <c r="H59" s="9" t="s">
        <v>4</v>
      </c>
      <c r="I59" s="2"/>
      <c r="J59" s="2"/>
    </row>
    <row r="60" spans="1:10" x14ac:dyDescent="0.3">
      <c r="A60" s="1">
        <v>59</v>
      </c>
      <c r="B60" s="7" t="s">
        <v>968</v>
      </c>
      <c r="C60" s="9" t="s">
        <v>1312</v>
      </c>
      <c r="D60" s="2">
        <v>75710</v>
      </c>
      <c r="E60" s="9" t="s">
        <v>969</v>
      </c>
      <c r="F60" s="2"/>
      <c r="G60" s="9" t="s">
        <v>970</v>
      </c>
      <c r="H60" s="9" t="s">
        <v>971</v>
      </c>
      <c r="I60" s="2"/>
      <c r="J60" s="2"/>
    </row>
    <row r="61" spans="1:10" x14ac:dyDescent="0.3">
      <c r="A61" s="1">
        <v>60</v>
      </c>
      <c r="B61" s="7" t="s">
        <v>972</v>
      </c>
      <c r="C61" s="9" t="s">
        <v>1312</v>
      </c>
      <c r="D61" s="2">
        <v>75710</v>
      </c>
      <c r="E61" s="9" t="s">
        <v>973</v>
      </c>
      <c r="F61" s="2"/>
      <c r="G61" s="9" t="s">
        <v>970</v>
      </c>
      <c r="H61" s="9" t="s">
        <v>971</v>
      </c>
      <c r="I61" s="2"/>
      <c r="J61" s="2"/>
    </row>
    <row r="62" spans="1:10" x14ac:dyDescent="0.3">
      <c r="A62" s="1">
        <v>61</v>
      </c>
      <c r="B62" s="7" t="s">
        <v>974</v>
      </c>
      <c r="C62" s="9" t="s">
        <v>1312</v>
      </c>
      <c r="D62" s="2">
        <v>75710</v>
      </c>
      <c r="E62" s="9" t="s">
        <v>975</v>
      </c>
      <c r="F62" s="2"/>
      <c r="G62" s="9" t="s">
        <v>33</v>
      </c>
      <c r="H62" s="9" t="s">
        <v>976</v>
      </c>
      <c r="I62" s="2"/>
      <c r="J62" s="2"/>
    </row>
    <row r="63" spans="1:10" x14ac:dyDescent="0.3">
      <c r="A63" s="1">
        <v>62</v>
      </c>
      <c r="B63" s="7" t="s">
        <v>977</v>
      </c>
      <c r="C63" s="9" t="s">
        <v>1312</v>
      </c>
      <c r="D63" s="2">
        <v>75710</v>
      </c>
      <c r="E63" s="9" t="s">
        <v>978</v>
      </c>
      <c r="F63" s="2"/>
      <c r="G63" s="9" t="s">
        <v>13</v>
      </c>
      <c r="H63" s="9" t="s">
        <v>14</v>
      </c>
      <c r="I63" s="2"/>
      <c r="J63" s="2"/>
    </row>
    <row r="64" spans="1:10" x14ac:dyDescent="0.3">
      <c r="A64" s="1">
        <v>63</v>
      </c>
      <c r="B64" s="7" t="s">
        <v>979</v>
      </c>
      <c r="C64" s="9" t="s">
        <v>1312</v>
      </c>
      <c r="D64" s="2">
        <v>75710</v>
      </c>
      <c r="E64" s="9" t="s">
        <v>980</v>
      </c>
      <c r="F64" s="2"/>
      <c r="G64" s="9" t="s">
        <v>59</v>
      </c>
      <c r="H64" s="9" t="s">
        <v>57</v>
      </c>
      <c r="I64" s="2"/>
      <c r="J64" s="2"/>
    </row>
    <row r="65" spans="1:10" x14ac:dyDescent="0.3">
      <c r="A65" s="1">
        <v>64</v>
      </c>
      <c r="B65" s="7" t="s">
        <v>981</v>
      </c>
      <c r="C65" s="9" t="s">
        <v>1312</v>
      </c>
      <c r="D65" s="2">
        <v>75710</v>
      </c>
      <c r="E65" s="9" t="s">
        <v>982</v>
      </c>
      <c r="F65" s="2"/>
      <c r="G65" s="9" t="s">
        <v>58</v>
      </c>
      <c r="H65" s="9" t="s">
        <v>47</v>
      </c>
      <c r="I65" s="2"/>
      <c r="J65" s="2"/>
    </row>
    <row r="66" spans="1:10" x14ac:dyDescent="0.3">
      <c r="A66" s="1">
        <v>65</v>
      </c>
      <c r="B66" s="7" t="s">
        <v>983</v>
      </c>
      <c r="C66" s="9" t="s">
        <v>1312</v>
      </c>
      <c r="D66" s="2">
        <v>75710</v>
      </c>
      <c r="E66" s="9" t="s">
        <v>984</v>
      </c>
      <c r="F66" s="2"/>
      <c r="G66" s="9" t="s">
        <v>40</v>
      </c>
      <c r="H66" s="9" t="s">
        <v>985</v>
      </c>
      <c r="I66" s="2"/>
      <c r="J66" s="2"/>
    </row>
    <row r="67" spans="1:10" x14ac:dyDescent="0.3">
      <c r="A67" s="1">
        <v>66</v>
      </c>
      <c r="B67" s="7" t="s">
        <v>986</v>
      </c>
      <c r="C67" s="9" t="s">
        <v>1312</v>
      </c>
      <c r="D67" s="2">
        <v>75710</v>
      </c>
      <c r="E67" s="9" t="s">
        <v>987</v>
      </c>
      <c r="F67" s="2"/>
      <c r="G67" s="9" t="s">
        <v>988</v>
      </c>
      <c r="H67" s="9" t="s">
        <v>951</v>
      </c>
      <c r="I67" s="2"/>
      <c r="J67" s="2"/>
    </row>
    <row r="68" spans="1:10" x14ac:dyDescent="0.3">
      <c r="A68" s="1">
        <v>67</v>
      </c>
      <c r="B68" s="7" t="s">
        <v>989</v>
      </c>
      <c r="C68" s="9" t="s">
        <v>1312</v>
      </c>
      <c r="D68" s="2">
        <v>75710</v>
      </c>
      <c r="E68" s="9" t="s">
        <v>990</v>
      </c>
      <c r="F68" s="2"/>
      <c r="G68" s="9" t="s">
        <v>49</v>
      </c>
      <c r="H68" s="9" t="s">
        <v>57</v>
      </c>
      <c r="I68" s="2"/>
      <c r="J68" s="2"/>
    </row>
    <row r="69" spans="1:10" x14ac:dyDescent="0.3">
      <c r="A69" s="1">
        <v>68</v>
      </c>
      <c r="B69" s="7" t="s">
        <v>991</v>
      </c>
      <c r="C69" s="9" t="s">
        <v>1312</v>
      </c>
      <c r="D69" s="2">
        <v>75710</v>
      </c>
      <c r="E69" s="9" t="s">
        <v>992</v>
      </c>
      <c r="F69" s="2"/>
      <c r="G69" s="9" t="s">
        <v>49</v>
      </c>
      <c r="H69" s="9" t="s">
        <v>57</v>
      </c>
      <c r="I69" s="2"/>
      <c r="J69" s="2"/>
    </row>
    <row r="70" spans="1:10" x14ac:dyDescent="0.3">
      <c r="A70" s="1">
        <v>69</v>
      </c>
      <c r="B70" s="7" t="s">
        <v>993</v>
      </c>
      <c r="C70" s="9" t="s">
        <v>1312</v>
      </c>
      <c r="D70" s="2">
        <v>75710</v>
      </c>
      <c r="E70" s="9" t="s">
        <v>994</v>
      </c>
      <c r="F70" s="2"/>
      <c r="G70" s="9" t="s">
        <v>21</v>
      </c>
      <c r="H70" s="9" t="s">
        <v>22</v>
      </c>
      <c r="I70" s="2"/>
      <c r="J70" s="2"/>
    </row>
    <row r="71" spans="1:10" x14ac:dyDescent="0.3">
      <c r="A71" s="1">
        <v>70</v>
      </c>
      <c r="B71" s="7" t="s">
        <v>995</v>
      </c>
      <c r="C71" s="9" t="s">
        <v>1312</v>
      </c>
      <c r="D71" s="2">
        <v>75710</v>
      </c>
      <c r="E71" s="9" t="s">
        <v>996</v>
      </c>
      <c r="F71" s="2"/>
      <c r="G71" s="9" t="s">
        <v>40</v>
      </c>
      <c r="H71" s="9" t="s">
        <v>47</v>
      </c>
      <c r="I71" s="2"/>
      <c r="J71" s="2"/>
    </row>
    <row r="72" spans="1:10" x14ac:dyDescent="0.3">
      <c r="A72" s="1">
        <v>71</v>
      </c>
      <c r="B72" s="7" t="s">
        <v>997</v>
      </c>
      <c r="C72" s="9" t="s">
        <v>1312</v>
      </c>
      <c r="D72" s="2">
        <v>75710</v>
      </c>
      <c r="E72" s="9" t="s">
        <v>998</v>
      </c>
      <c r="F72" s="2"/>
      <c r="G72" s="9" t="s">
        <v>26</v>
      </c>
      <c r="H72" s="9" t="s">
        <v>27</v>
      </c>
      <c r="I72" s="2"/>
      <c r="J72" s="2"/>
    </row>
    <row r="73" spans="1:10" x14ac:dyDescent="0.3">
      <c r="A73" s="1">
        <v>72</v>
      </c>
      <c r="B73" s="7" t="s">
        <v>999</v>
      </c>
      <c r="C73" s="9" t="s">
        <v>1312</v>
      </c>
      <c r="D73" s="2">
        <v>75710</v>
      </c>
      <c r="E73" s="9" t="s">
        <v>1000</v>
      </c>
      <c r="F73" s="2"/>
      <c r="G73" s="9" t="s">
        <v>26</v>
      </c>
      <c r="H73" s="9" t="s">
        <v>27</v>
      </c>
      <c r="I73" s="2"/>
      <c r="J73" s="2"/>
    </row>
    <row r="74" spans="1:10" x14ac:dyDescent="0.3">
      <c r="A74" s="1">
        <v>73</v>
      </c>
      <c r="B74" s="7" t="s">
        <v>1001</v>
      </c>
      <c r="C74" s="9" t="s">
        <v>1312</v>
      </c>
      <c r="D74" s="2">
        <v>75710</v>
      </c>
      <c r="E74" s="9" t="s">
        <v>1002</v>
      </c>
      <c r="F74" s="2"/>
      <c r="G74" s="9" t="s">
        <v>17</v>
      </c>
      <c r="H74" s="9" t="s">
        <v>18</v>
      </c>
      <c r="I74" s="2"/>
      <c r="J74" s="2"/>
    </row>
    <row r="75" spans="1:10" x14ac:dyDescent="0.3">
      <c r="A75" s="1">
        <v>74</v>
      </c>
      <c r="B75" s="7" t="s">
        <v>1003</v>
      </c>
      <c r="C75" s="9" t="s">
        <v>1312</v>
      </c>
      <c r="D75" s="2">
        <v>75710</v>
      </c>
      <c r="E75" s="9" t="s">
        <v>1004</v>
      </c>
      <c r="F75" s="2"/>
      <c r="G75" s="9" t="s">
        <v>49</v>
      </c>
      <c r="H75" s="9" t="s">
        <v>50</v>
      </c>
      <c r="I75" s="2"/>
      <c r="J75" s="2"/>
    </row>
    <row r="76" spans="1:10" x14ac:dyDescent="0.3">
      <c r="A76" s="1">
        <v>75</v>
      </c>
      <c r="B76" s="7" t="s">
        <v>1005</v>
      </c>
      <c r="C76" s="9" t="s">
        <v>1312</v>
      </c>
      <c r="D76" s="2">
        <v>75710</v>
      </c>
      <c r="E76" s="9" t="s">
        <v>1006</v>
      </c>
      <c r="F76" s="2"/>
      <c r="G76" s="9" t="s">
        <v>26</v>
      </c>
      <c r="H76" s="9" t="s">
        <v>27</v>
      </c>
      <c r="I76" s="2"/>
      <c r="J76" s="2"/>
    </row>
    <row r="77" spans="1:10" x14ac:dyDescent="0.3">
      <c r="A77" s="1">
        <v>76</v>
      </c>
      <c r="B77" s="7" t="s">
        <v>1007</v>
      </c>
      <c r="C77" s="9" t="s">
        <v>1312</v>
      </c>
      <c r="D77" s="2">
        <v>75710</v>
      </c>
      <c r="E77" s="9" t="s">
        <v>1008</v>
      </c>
      <c r="F77" s="2"/>
      <c r="G77" s="9" t="s">
        <v>40</v>
      </c>
      <c r="H77" s="9" t="s">
        <v>47</v>
      </c>
      <c r="I77" s="2"/>
      <c r="J77" s="2"/>
    </row>
    <row r="78" spans="1:10" x14ac:dyDescent="0.3">
      <c r="A78" s="1">
        <v>77</v>
      </c>
      <c r="B78" s="7" t="s">
        <v>1009</v>
      </c>
      <c r="C78" s="9" t="s">
        <v>1312</v>
      </c>
      <c r="D78" s="2">
        <v>75710</v>
      </c>
      <c r="E78" s="9" t="s">
        <v>1010</v>
      </c>
      <c r="F78" s="2"/>
      <c r="G78" s="9" t="s">
        <v>58</v>
      </c>
      <c r="H78" s="9" t="s">
        <v>56</v>
      </c>
      <c r="I78" s="2"/>
      <c r="J78" s="2"/>
    </row>
    <row r="79" spans="1:10" x14ac:dyDescent="0.3">
      <c r="A79" s="1">
        <v>78</v>
      </c>
      <c r="B79" s="7" t="s">
        <v>1011</v>
      </c>
      <c r="C79" s="9" t="s">
        <v>1312</v>
      </c>
      <c r="D79" s="2">
        <v>75710</v>
      </c>
      <c r="E79" s="9" t="s">
        <v>1012</v>
      </c>
      <c r="F79" s="2"/>
      <c r="G79" s="9" t="s">
        <v>40</v>
      </c>
      <c r="H79" s="9" t="s">
        <v>1013</v>
      </c>
      <c r="I79" s="2"/>
      <c r="J79" s="2"/>
    </row>
    <row r="80" spans="1:10" x14ac:dyDescent="0.3">
      <c r="A80" s="1">
        <v>79</v>
      </c>
      <c r="B80" s="7" t="s">
        <v>1014</v>
      </c>
      <c r="C80" s="9" t="s">
        <v>1312</v>
      </c>
      <c r="D80" s="2">
        <v>75710</v>
      </c>
      <c r="E80" s="9" t="s">
        <v>1015</v>
      </c>
      <c r="F80" s="2"/>
      <c r="G80" s="9" t="s">
        <v>49</v>
      </c>
      <c r="H80" s="9" t="s">
        <v>27</v>
      </c>
      <c r="I80" s="2"/>
      <c r="J80" s="2"/>
    </row>
    <row r="81" spans="1:10" x14ac:dyDescent="0.3">
      <c r="A81" s="1">
        <v>80</v>
      </c>
      <c r="B81" s="7" t="s">
        <v>1016</v>
      </c>
      <c r="C81" s="9" t="s">
        <v>1312</v>
      </c>
      <c r="D81" s="2">
        <v>75710</v>
      </c>
      <c r="E81" s="9" t="s">
        <v>51</v>
      </c>
      <c r="F81" s="2"/>
      <c r="G81" s="9" t="s">
        <v>49</v>
      </c>
      <c r="H81" s="9" t="s">
        <v>27</v>
      </c>
      <c r="I81" s="2"/>
      <c r="J81" s="2"/>
    </row>
    <row r="82" spans="1:10" x14ac:dyDescent="0.3">
      <c r="A82" s="1">
        <v>81</v>
      </c>
      <c r="B82" s="7" t="s">
        <v>1017</v>
      </c>
      <c r="C82" s="9" t="s">
        <v>1312</v>
      </c>
      <c r="D82" s="2">
        <v>75710</v>
      </c>
      <c r="E82" s="9" t="s">
        <v>1018</v>
      </c>
      <c r="F82" s="2"/>
      <c r="G82" s="9" t="s">
        <v>49</v>
      </c>
      <c r="H82" s="9" t="s">
        <v>57</v>
      </c>
      <c r="I82" s="2"/>
      <c r="J82" s="2"/>
    </row>
    <row r="83" spans="1:10" x14ac:dyDescent="0.3">
      <c r="A83" s="1">
        <v>82</v>
      </c>
      <c r="B83" s="7" t="s">
        <v>1019</v>
      </c>
      <c r="C83" s="9" t="s">
        <v>1312</v>
      </c>
      <c r="D83" s="2">
        <v>75710</v>
      </c>
      <c r="E83" s="9" t="s">
        <v>1020</v>
      </c>
      <c r="F83" s="2"/>
      <c r="G83" s="9" t="s">
        <v>49</v>
      </c>
      <c r="H83" s="9" t="s">
        <v>57</v>
      </c>
      <c r="I83" s="2"/>
      <c r="J83" s="2"/>
    </row>
    <row r="84" spans="1:10" x14ac:dyDescent="0.3">
      <c r="A84" s="1">
        <v>83</v>
      </c>
      <c r="B84" s="7" t="s">
        <v>1122</v>
      </c>
      <c r="C84" s="9" t="s">
        <v>1316</v>
      </c>
      <c r="D84" s="2">
        <v>777</v>
      </c>
      <c r="E84" s="9" t="s">
        <v>967</v>
      </c>
      <c r="F84" s="2"/>
      <c r="G84" s="1" t="s">
        <v>3</v>
      </c>
      <c r="H84" s="1" t="s">
        <v>4</v>
      </c>
      <c r="I84" s="2"/>
      <c r="J84" s="2"/>
    </row>
    <row r="85" spans="1:10" x14ac:dyDescent="0.3">
      <c r="A85" s="1">
        <v>84</v>
      </c>
      <c r="B85" s="7" t="s">
        <v>1123</v>
      </c>
      <c r="C85" s="9" t="s">
        <v>1316</v>
      </c>
      <c r="D85" s="2">
        <v>777</v>
      </c>
      <c r="E85" s="9" t="s">
        <v>6</v>
      </c>
      <c r="F85" s="2"/>
      <c r="G85" s="1" t="s">
        <v>3</v>
      </c>
      <c r="H85" s="1" t="s">
        <v>4</v>
      </c>
      <c r="I85" s="2"/>
      <c r="J85" s="2"/>
    </row>
    <row r="86" spans="1:10" x14ac:dyDescent="0.3">
      <c r="A86" s="1">
        <v>85</v>
      </c>
      <c r="B86" s="7" t="s">
        <v>1124</v>
      </c>
      <c r="C86" s="9" t="s">
        <v>1316</v>
      </c>
      <c r="D86" s="2">
        <v>777</v>
      </c>
      <c r="E86" s="9" t="s">
        <v>8</v>
      </c>
      <c r="F86" s="2"/>
      <c r="G86" s="1" t="s">
        <v>9</v>
      </c>
      <c r="H86" s="1" t="s">
        <v>10</v>
      </c>
      <c r="I86" s="2"/>
      <c r="J86" s="2"/>
    </row>
    <row r="87" spans="1:10" x14ac:dyDescent="0.3">
      <c r="A87" s="1">
        <v>86</v>
      </c>
      <c r="B87" s="7" t="s">
        <v>1125</v>
      </c>
      <c r="C87" s="9" t="s">
        <v>1316</v>
      </c>
      <c r="D87" s="2">
        <v>777</v>
      </c>
      <c r="E87" s="9" t="s">
        <v>12</v>
      </c>
      <c r="F87" s="2"/>
      <c r="G87" s="1" t="s">
        <v>13</v>
      </c>
      <c r="H87" s="1" t="s">
        <v>14</v>
      </c>
      <c r="I87" s="2"/>
      <c r="J87" s="2"/>
    </row>
    <row r="88" spans="1:10" x14ac:dyDescent="0.3">
      <c r="A88" s="1">
        <v>87</v>
      </c>
      <c r="B88" s="7" t="s">
        <v>1126</v>
      </c>
      <c r="C88" s="9" t="s">
        <v>1316</v>
      </c>
      <c r="D88" s="2">
        <v>777</v>
      </c>
      <c r="E88" s="9" t="s">
        <v>35</v>
      </c>
      <c r="F88" s="2"/>
      <c r="G88" s="1" t="s">
        <v>9</v>
      </c>
      <c r="H88" s="1" t="s">
        <v>30</v>
      </c>
      <c r="I88" s="2"/>
      <c r="J88" s="2"/>
    </row>
    <row r="89" spans="1:10" x14ac:dyDescent="0.3">
      <c r="A89" s="1">
        <v>88</v>
      </c>
      <c r="B89" s="7" t="s">
        <v>1127</v>
      </c>
      <c r="C89" s="9" t="s">
        <v>1316</v>
      </c>
      <c r="D89" s="2">
        <v>777</v>
      </c>
      <c r="E89" s="9" t="s">
        <v>1128</v>
      </c>
      <c r="F89" s="2"/>
      <c r="G89" s="1" t="s">
        <v>3</v>
      </c>
      <c r="H89" s="1" t="s">
        <v>4</v>
      </c>
      <c r="I89" s="2"/>
      <c r="J89" s="2"/>
    </row>
    <row r="90" spans="1:10" x14ac:dyDescent="0.3">
      <c r="A90" s="1">
        <v>89</v>
      </c>
      <c r="B90" s="7" t="s">
        <v>1129</v>
      </c>
      <c r="C90" s="9" t="s">
        <v>1316</v>
      </c>
      <c r="D90" s="2">
        <v>777</v>
      </c>
      <c r="E90" s="9" t="s">
        <v>1109</v>
      </c>
      <c r="F90" s="2"/>
      <c r="G90" s="1" t="s">
        <v>1087</v>
      </c>
      <c r="H90" s="1" t="s">
        <v>18</v>
      </c>
      <c r="I90" s="2"/>
      <c r="J90" s="2"/>
    </row>
    <row r="91" spans="1:10" x14ac:dyDescent="0.3">
      <c r="A91" s="1">
        <v>90</v>
      </c>
      <c r="B91" s="7" t="s">
        <v>1130</v>
      </c>
      <c r="C91" s="9" t="s">
        <v>1316</v>
      </c>
      <c r="D91" s="2">
        <v>777</v>
      </c>
      <c r="E91" s="9" t="s">
        <v>53</v>
      </c>
      <c r="F91" s="2"/>
      <c r="G91" s="1" t="s">
        <v>40</v>
      </c>
      <c r="H91" s="1" t="s">
        <v>27</v>
      </c>
      <c r="I91" s="2"/>
      <c r="J91" s="2"/>
    </row>
    <row r="92" spans="1:10" x14ac:dyDescent="0.3">
      <c r="A92" s="1">
        <v>91</v>
      </c>
      <c r="B92" s="7" t="s">
        <v>1131</v>
      </c>
      <c r="C92" s="9" t="s">
        <v>1316</v>
      </c>
      <c r="D92" s="2">
        <v>777</v>
      </c>
      <c r="E92" s="9" t="s">
        <v>46</v>
      </c>
      <c r="F92" s="2"/>
      <c r="G92" s="1" t="s">
        <v>963</v>
      </c>
      <c r="H92" s="1" t="s">
        <v>47</v>
      </c>
      <c r="I92" s="2"/>
      <c r="J92" s="2"/>
    </row>
    <row r="93" spans="1:10" x14ac:dyDescent="0.3">
      <c r="A93" s="1">
        <v>92</v>
      </c>
      <c r="B93" s="7" t="s">
        <v>1268</v>
      </c>
      <c r="C93" s="9" t="s">
        <v>1316</v>
      </c>
      <c r="D93" s="2">
        <v>777</v>
      </c>
      <c r="E93" s="9" t="s">
        <v>25</v>
      </c>
      <c r="F93" s="2"/>
      <c r="G93" s="1" t="s">
        <v>26</v>
      </c>
      <c r="H93" s="1" t="s">
        <v>27</v>
      </c>
      <c r="I93" s="2"/>
      <c r="J93" s="2"/>
    </row>
    <row r="94" spans="1:10" x14ac:dyDescent="0.3">
      <c r="A94" s="1">
        <v>93</v>
      </c>
      <c r="B94" s="7" t="s">
        <v>1269</v>
      </c>
      <c r="C94" s="9" t="s">
        <v>1316</v>
      </c>
      <c r="D94" s="2">
        <v>777</v>
      </c>
      <c r="E94" s="9" t="s">
        <v>1132</v>
      </c>
      <c r="F94" s="2"/>
      <c r="G94" s="1" t="s">
        <v>26</v>
      </c>
      <c r="H94" s="1" t="s">
        <v>57</v>
      </c>
      <c r="I94" s="2"/>
      <c r="J94" s="2"/>
    </row>
    <row r="95" spans="1:10" x14ac:dyDescent="0.3">
      <c r="A95" s="1">
        <v>94</v>
      </c>
      <c r="B95" s="7" t="s">
        <v>1133</v>
      </c>
      <c r="C95" s="9" t="s">
        <v>1316</v>
      </c>
      <c r="D95" s="2">
        <v>777</v>
      </c>
      <c r="E95" s="9" t="s">
        <v>1134</v>
      </c>
      <c r="F95" s="2"/>
      <c r="G95" s="1" t="s">
        <v>9</v>
      </c>
      <c r="H95" s="1" t="s">
        <v>30</v>
      </c>
      <c r="I95" s="2"/>
      <c r="J95" s="2"/>
    </row>
    <row r="96" spans="1:10" x14ac:dyDescent="0.3">
      <c r="A96" s="1">
        <v>95</v>
      </c>
      <c r="B96" s="7" t="s">
        <v>1135</v>
      </c>
      <c r="C96" s="9" t="s">
        <v>1316</v>
      </c>
      <c r="D96" s="2">
        <v>777</v>
      </c>
      <c r="E96" s="9" t="s">
        <v>1136</v>
      </c>
      <c r="F96" s="2"/>
      <c r="G96" s="1" t="s">
        <v>40</v>
      </c>
      <c r="H96" s="1" t="s">
        <v>55</v>
      </c>
      <c r="I96" s="2"/>
      <c r="J96" s="2"/>
    </row>
    <row r="97" spans="1:10" x14ac:dyDescent="0.3">
      <c r="A97" s="1">
        <v>96</v>
      </c>
      <c r="B97" s="7" t="s">
        <v>1137</v>
      </c>
      <c r="C97" s="9" t="s">
        <v>1316</v>
      </c>
      <c r="D97" s="2">
        <v>777</v>
      </c>
      <c r="E97" s="9" t="s">
        <v>41</v>
      </c>
      <c r="F97" s="2"/>
      <c r="G97" s="1" t="s">
        <v>40</v>
      </c>
      <c r="H97" s="1" t="s">
        <v>27</v>
      </c>
      <c r="I97" s="2"/>
      <c r="J97" s="2"/>
    </row>
    <row r="98" spans="1:10" x14ac:dyDescent="0.3">
      <c r="A98" s="1">
        <v>97</v>
      </c>
      <c r="B98" s="7" t="s">
        <v>1138</v>
      </c>
      <c r="C98" s="9" t="s">
        <v>1316</v>
      </c>
      <c r="D98" s="2">
        <v>777</v>
      </c>
      <c r="E98" s="9" t="s">
        <v>39</v>
      </c>
      <c r="F98" s="2"/>
      <c r="G98" s="1" t="s">
        <v>40</v>
      </c>
      <c r="H98" s="1" t="s">
        <v>27</v>
      </c>
      <c r="I98" s="2"/>
      <c r="J98" s="2"/>
    </row>
    <row r="99" spans="1:10" x14ac:dyDescent="0.3">
      <c r="A99" s="1">
        <v>98</v>
      </c>
      <c r="B99" s="7" t="s">
        <v>1040</v>
      </c>
      <c r="C99" s="9" t="s">
        <v>1316</v>
      </c>
      <c r="D99" s="2">
        <v>777</v>
      </c>
      <c r="E99" s="9" t="s">
        <v>1117</v>
      </c>
      <c r="F99" s="2"/>
      <c r="G99" s="1" t="s">
        <v>3</v>
      </c>
      <c r="H99" s="1" t="s">
        <v>4</v>
      </c>
      <c r="I99" s="2"/>
      <c r="J99" s="2"/>
    </row>
    <row r="100" spans="1:10" x14ac:dyDescent="0.3">
      <c r="A100" s="1">
        <v>99</v>
      </c>
      <c r="B100" s="7" t="s">
        <v>1067</v>
      </c>
      <c r="C100" s="9" t="s">
        <v>1316</v>
      </c>
      <c r="D100" s="2">
        <v>777</v>
      </c>
      <c r="E100" s="9" t="s">
        <v>1068</v>
      </c>
      <c r="F100" s="2"/>
      <c r="G100" s="1" t="s">
        <v>13</v>
      </c>
      <c r="H100" s="1" t="s">
        <v>14</v>
      </c>
      <c r="I100" s="2"/>
      <c r="J100" s="2"/>
    </row>
    <row r="101" spans="1:10" x14ac:dyDescent="0.3">
      <c r="A101" s="1">
        <v>100</v>
      </c>
      <c r="B101" s="7" t="s">
        <v>1041</v>
      </c>
      <c r="C101" s="9" t="s">
        <v>1316</v>
      </c>
      <c r="D101" s="2">
        <v>777</v>
      </c>
      <c r="E101" s="9" t="s">
        <v>32</v>
      </c>
      <c r="F101" s="2"/>
      <c r="G101" s="1" t="s">
        <v>33</v>
      </c>
      <c r="H101" s="1" t="s">
        <v>34</v>
      </c>
      <c r="I101" s="2"/>
      <c r="J101" s="2"/>
    </row>
    <row r="102" spans="1:10" x14ac:dyDescent="0.3">
      <c r="A102" s="1">
        <v>101</v>
      </c>
      <c r="B102" s="7" t="s">
        <v>1139</v>
      </c>
      <c r="C102" s="9" t="s">
        <v>1316</v>
      </c>
      <c r="D102" s="2">
        <v>777</v>
      </c>
      <c r="E102" s="9" t="s">
        <v>1118</v>
      </c>
      <c r="F102" s="2"/>
      <c r="G102" s="1" t="s">
        <v>21</v>
      </c>
      <c r="H102" s="1" t="s">
        <v>22</v>
      </c>
      <c r="I102" s="2"/>
      <c r="J102" s="2"/>
    </row>
    <row r="103" spans="1:10" x14ac:dyDescent="0.3">
      <c r="A103" s="1">
        <v>102</v>
      </c>
      <c r="B103" s="7" t="s">
        <v>42</v>
      </c>
      <c r="C103" s="9" t="s">
        <v>1316</v>
      </c>
      <c r="D103" s="2">
        <v>777</v>
      </c>
      <c r="E103" s="9" t="s">
        <v>293</v>
      </c>
      <c r="F103" s="2"/>
      <c r="G103" s="1" t="s">
        <v>44</v>
      </c>
      <c r="H103" s="1" t="s">
        <v>45</v>
      </c>
      <c r="I103" s="2"/>
      <c r="J103" s="2"/>
    </row>
    <row r="104" spans="1:10" x14ac:dyDescent="0.3">
      <c r="A104" s="1">
        <v>103</v>
      </c>
      <c r="B104" s="7" t="s">
        <v>1123</v>
      </c>
      <c r="C104" s="9" t="s">
        <v>1316</v>
      </c>
      <c r="D104" s="1">
        <v>320</v>
      </c>
      <c r="E104" s="1" t="s">
        <v>6</v>
      </c>
      <c r="F104" s="2"/>
      <c r="G104" s="1" t="s">
        <v>3</v>
      </c>
      <c r="H104" s="1" t="s">
        <v>4</v>
      </c>
      <c r="I104" s="2"/>
      <c r="J104" s="2"/>
    </row>
    <row r="105" spans="1:10" x14ac:dyDescent="0.3">
      <c r="A105" s="1">
        <v>104</v>
      </c>
      <c r="B105" s="7" t="s">
        <v>1122</v>
      </c>
      <c r="C105" s="9" t="s">
        <v>1316</v>
      </c>
      <c r="D105" s="1">
        <v>320</v>
      </c>
      <c r="E105" s="1" t="s">
        <v>967</v>
      </c>
      <c r="F105" s="2"/>
      <c r="G105" s="1" t="s">
        <v>3</v>
      </c>
      <c r="H105" s="1" t="s">
        <v>4</v>
      </c>
      <c r="I105" s="2"/>
      <c r="J105" s="2"/>
    </row>
    <row r="106" spans="1:10" x14ac:dyDescent="0.3">
      <c r="A106" s="1">
        <v>105</v>
      </c>
      <c r="B106" s="7" t="s">
        <v>1200</v>
      </c>
      <c r="C106" s="9" t="s">
        <v>1316</v>
      </c>
      <c r="D106" s="1">
        <v>320</v>
      </c>
      <c r="E106" s="1" t="s">
        <v>1201</v>
      </c>
      <c r="F106" s="2"/>
      <c r="G106" s="1" t="s">
        <v>9</v>
      </c>
      <c r="H106" s="1" t="s">
        <v>10</v>
      </c>
      <c r="I106" s="2"/>
      <c r="J106" s="2"/>
    </row>
    <row r="107" spans="1:10" x14ac:dyDescent="0.3">
      <c r="A107" s="1">
        <v>106</v>
      </c>
      <c r="B107" s="7" t="s">
        <v>1202</v>
      </c>
      <c r="C107" s="9" t="s">
        <v>1316</v>
      </c>
      <c r="D107" s="1">
        <v>320</v>
      </c>
      <c r="E107" s="1" t="s">
        <v>1203</v>
      </c>
      <c r="F107" s="2"/>
      <c r="G107" s="1" t="s">
        <v>13</v>
      </c>
      <c r="H107" s="1" t="s">
        <v>14</v>
      </c>
      <c r="I107" s="2"/>
      <c r="J107" s="2"/>
    </row>
    <row r="108" spans="1:10" x14ac:dyDescent="0.3">
      <c r="A108" s="1">
        <v>107</v>
      </c>
      <c r="B108" s="7" t="s">
        <v>1204</v>
      </c>
      <c r="C108" s="9" t="s">
        <v>1316</v>
      </c>
      <c r="D108" s="1">
        <v>320</v>
      </c>
      <c r="E108" s="1" t="s">
        <v>35</v>
      </c>
      <c r="F108" s="2"/>
      <c r="G108" s="1" t="s">
        <v>9</v>
      </c>
      <c r="H108" s="1" t="s">
        <v>30</v>
      </c>
      <c r="I108" s="2"/>
      <c r="J108" s="2"/>
    </row>
    <row r="109" spans="1:10" x14ac:dyDescent="0.3">
      <c r="A109" s="1">
        <v>108</v>
      </c>
      <c r="B109" s="7" t="s">
        <v>1127</v>
      </c>
      <c r="C109" s="9" t="s">
        <v>1316</v>
      </c>
      <c r="D109" s="1">
        <v>320</v>
      </c>
      <c r="E109" s="1" t="s">
        <v>1083</v>
      </c>
      <c r="F109" s="2"/>
      <c r="G109" s="1" t="s">
        <v>9</v>
      </c>
      <c r="H109" s="1" t="s">
        <v>30</v>
      </c>
      <c r="I109" s="2"/>
      <c r="J109" s="2"/>
    </row>
    <row r="110" spans="1:10" x14ac:dyDescent="0.3">
      <c r="A110" s="1">
        <v>109</v>
      </c>
      <c r="B110" s="7" t="s">
        <v>1040</v>
      </c>
      <c r="C110" s="9" t="s">
        <v>1316</v>
      </c>
      <c r="D110" s="1">
        <v>320</v>
      </c>
      <c r="E110" s="1" t="s">
        <v>23</v>
      </c>
      <c r="F110" s="2"/>
      <c r="G110" s="1" t="s">
        <v>3</v>
      </c>
      <c r="H110" s="1" t="s">
        <v>4</v>
      </c>
      <c r="I110" s="2"/>
      <c r="J110" s="2"/>
    </row>
    <row r="111" spans="1:10" x14ac:dyDescent="0.3">
      <c r="A111" s="1">
        <v>110</v>
      </c>
      <c r="B111" s="7" t="s">
        <v>1041</v>
      </c>
      <c r="C111" s="9" t="s">
        <v>1316</v>
      </c>
      <c r="D111" s="1">
        <v>320</v>
      </c>
      <c r="E111" s="1" t="s">
        <v>32</v>
      </c>
      <c r="F111" s="2"/>
      <c r="G111" s="1" t="s">
        <v>33</v>
      </c>
      <c r="H111" s="1" t="s">
        <v>34</v>
      </c>
      <c r="I111" s="2"/>
      <c r="J111" s="2"/>
    </row>
    <row r="112" spans="1:10" x14ac:dyDescent="0.3">
      <c r="A112" s="1">
        <v>111</v>
      </c>
      <c r="B112" s="7" t="s">
        <v>1139</v>
      </c>
      <c r="C112" s="9" t="s">
        <v>1316</v>
      </c>
      <c r="D112" s="1">
        <v>320</v>
      </c>
      <c r="E112" s="1" t="s">
        <v>1205</v>
      </c>
      <c r="F112" s="2"/>
      <c r="G112" s="1" t="s">
        <v>21</v>
      </c>
      <c r="H112" s="1" t="s">
        <v>22</v>
      </c>
      <c r="I112" s="2"/>
      <c r="J112" s="2"/>
    </row>
    <row r="113" spans="1:10" x14ac:dyDescent="0.3">
      <c r="A113" s="1">
        <v>112</v>
      </c>
      <c r="B113" s="7" t="s">
        <v>1206</v>
      </c>
      <c r="C113" s="9" t="s">
        <v>1316</v>
      </c>
      <c r="D113" s="1">
        <v>320</v>
      </c>
      <c r="E113" s="1" t="s">
        <v>1032</v>
      </c>
      <c r="F113" s="2"/>
      <c r="G113" s="1" t="s">
        <v>26</v>
      </c>
      <c r="H113" s="1" t="s">
        <v>947</v>
      </c>
      <c r="I113" s="2"/>
      <c r="J113" s="2"/>
    </row>
    <row r="114" spans="1:10" x14ac:dyDescent="0.3">
      <c r="A114" s="1">
        <v>113</v>
      </c>
      <c r="B114" s="7" t="s">
        <v>1207</v>
      </c>
      <c r="C114" s="9" t="s">
        <v>1316</v>
      </c>
      <c r="D114" s="1">
        <v>320</v>
      </c>
      <c r="E114" s="1" t="s">
        <v>1208</v>
      </c>
      <c r="F114" s="2"/>
      <c r="G114" s="1" t="s">
        <v>26</v>
      </c>
      <c r="H114" s="1" t="s">
        <v>1091</v>
      </c>
      <c r="I114" s="2"/>
      <c r="J114" s="2"/>
    </row>
    <row r="115" spans="1:10" x14ac:dyDescent="0.3">
      <c r="A115" s="1">
        <v>114</v>
      </c>
      <c r="B115" s="7" t="s">
        <v>1209</v>
      </c>
      <c r="C115" s="9" t="s">
        <v>1316</v>
      </c>
      <c r="D115" s="1">
        <v>320</v>
      </c>
      <c r="E115" s="1" t="s">
        <v>950</v>
      </c>
      <c r="F115" s="2"/>
      <c r="G115" s="1" t="s">
        <v>26</v>
      </c>
      <c r="H115" s="1" t="s">
        <v>949</v>
      </c>
      <c r="I115" s="2"/>
      <c r="J115" s="2"/>
    </row>
    <row r="116" spans="1:10" x14ac:dyDescent="0.3">
      <c r="A116" s="1">
        <v>115</v>
      </c>
      <c r="B116" s="7" t="s">
        <v>1279</v>
      </c>
      <c r="C116" s="9" t="s">
        <v>1316</v>
      </c>
      <c r="D116" s="1">
        <v>320</v>
      </c>
      <c r="E116" s="1" t="s">
        <v>955</v>
      </c>
      <c r="F116" s="2"/>
      <c r="G116" s="1" t="s">
        <v>26</v>
      </c>
      <c r="H116" s="1" t="s">
        <v>50</v>
      </c>
      <c r="I116" s="2"/>
      <c r="J116" s="2"/>
    </row>
    <row r="117" spans="1:10" x14ac:dyDescent="0.3">
      <c r="A117" s="1">
        <v>116</v>
      </c>
      <c r="B117" s="7" t="s">
        <v>1280</v>
      </c>
      <c r="C117" s="9" t="s">
        <v>1316</v>
      </c>
      <c r="D117" s="1">
        <v>320</v>
      </c>
      <c r="E117" s="1" t="s">
        <v>952</v>
      </c>
      <c r="F117" s="2"/>
      <c r="G117" s="1" t="s">
        <v>26</v>
      </c>
      <c r="H117" s="1" t="s">
        <v>22</v>
      </c>
      <c r="I117" s="2"/>
      <c r="J117" s="2"/>
    </row>
    <row r="118" spans="1:10" x14ac:dyDescent="0.3">
      <c r="A118" s="1">
        <v>117</v>
      </c>
      <c r="B118" s="7" t="s">
        <v>1281</v>
      </c>
      <c r="C118" s="9" t="s">
        <v>1316</v>
      </c>
      <c r="D118" s="1">
        <v>320</v>
      </c>
      <c r="E118" s="1" t="s">
        <v>953</v>
      </c>
      <c r="F118" s="2"/>
      <c r="G118" s="1" t="s">
        <v>26</v>
      </c>
      <c r="H118" s="1" t="s">
        <v>50</v>
      </c>
      <c r="I118" s="2"/>
      <c r="J118" s="2"/>
    </row>
    <row r="119" spans="1:10" x14ac:dyDescent="0.3">
      <c r="A119" s="1">
        <v>118</v>
      </c>
      <c r="B119" s="7" t="s">
        <v>1282</v>
      </c>
      <c r="C119" s="9" t="s">
        <v>1316</v>
      </c>
      <c r="D119" s="1">
        <v>320</v>
      </c>
      <c r="E119" s="1" t="s">
        <v>954</v>
      </c>
      <c r="F119" s="2"/>
      <c r="G119" s="1" t="s">
        <v>26</v>
      </c>
      <c r="H119" s="1" t="s">
        <v>50</v>
      </c>
      <c r="I119" s="2"/>
      <c r="J119" s="2"/>
    </row>
    <row r="120" spans="1:10" x14ac:dyDescent="0.3">
      <c r="A120" s="1">
        <v>119</v>
      </c>
      <c r="B120" s="7" t="s">
        <v>1283</v>
      </c>
      <c r="C120" s="9" t="s">
        <v>1316</v>
      </c>
      <c r="D120" s="1">
        <v>320</v>
      </c>
      <c r="E120" s="1" t="s">
        <v>1039</v>
      </c>
      <c r="F120" s="2"/>
      <c r="G120" s="1" t="s">
        <v>26</v>
      </c>
      <c r="H120" s="1" t="s">
        <v>22</v>
      </c>
      <c r="I120" s="2"/>
      <c r="J120" s="2"/>
    </row>
    <row r="121" spans="1:10" x14ac:dyDescent="0.3">
      <c r="A121" s="1">
        <v>120</v>
      </c>
      <c r="B121" s="7" t="s">
        <v>1210</v>
      </c>
      <c r="C121" s="9" t="s">
        <v>1316</v>
      </c>
      <c r="D121" s="1">
        <v>320</v>
      </c>
      <c r="E121" s="1" t="s">
        <v>1211</v>
      </c>
      <c r="F121" s="2"/>
      <c r="G121" s="1" t="s">
        <v>1087</v>
      </c>
      <c r="H121" s="1" t="s">
        <v>18</v>
      </c>
      <c r="I121" s="2"/>
      <c r="J121" s="2"/>
    </row>
    <row r="122" spans="1:10" x14ac:dyDescent="0.3">
      <c r="A122" s="1">
        <v>121</v>
      </c>
      <c r="B122" s="7" t="s">
        <v>1284</v>
      </c>
      <c r="C122" s="9" t="s">
        <v>1316</v>
      </c>
      <c r="D122" s="1">
        <v>320</v>
      </c>
      <c r="E122" s="1" t="s">
        <v>1212</v>
      </c>
      <c r="F122" s="2"/>
      <c r="G122" s="1" t="s">
        <v>40</v>
      </c>
      <c r="H122" s="1" t="s">
        <v>55</v>
      </c>
      <c r="I122" s="2"/>
      <c r="J122" s="2"/>
    </row>
    <row r="123" spans="1:10" x14ac:dyDescent="0.3">
      <c r="A123" s="1">
        <v>122</v>
      </c>
      <c r="B123" s="7" t="s">
        <v>1285</v>
      </c>
      <c r="C123" s="9" t="s">
        <v>1316</v>
      </c>
      <c r="D123" s="1">
        <v>320</v>
      </c>
      <c r="E123" s="1" t="s">
        <v>1213</v>
      </c>
      <c r="F123" s="2"/>
      <c r="G123" s="1" t="s">
        <v>40</v>
      </c>
      <c r="H123" s="1" t="s">
        <v>55</v>
      </c>
      <c r="I123" s="2"/>
      <c r="J123" s="2"/>
    </row>
    <row r="124" spans="1:10" x14ac:dyDescent="0.3">
      <c r="A124" s="1">
        <v>123</v>
      </c>
      <c r="B124" s="7" t="s">
        <v>1286</v>
      </c>
      <c r="C124" s="9" t="s">
        <v>1316</v>
      </c>
      <c r="D124" s="1">
        <v>320</v>
      </c>
      <c r="E124" s="1" t="s">
        <v>1214</v>
      </c>
      <c r="F124" s="2"/>
      <c r="G124" s="1" t="s">
        <v>40</v>
      </c>
      <c r="H124" s="1" t="s">
        <v>55</v>
      </c>
      <c r="I124" s="2"/>
      <c r="J124" s="2"/>
    </row>
    <row r="125" spans="1:10" x14ac:dyDescent="0.3">
      <c r="A125" s="1">
        <v>124</v>
      </c>
      <c r="B125" s="7" t="s">
        <v>1287</v>
      </c>
      <c r="C125" s="9" t="s">
        <v>1316</v>
      </c>
      <c r="D125" s="1">
        <v>320</v>
      </c>
      <c r="E125" s="1" t="s">
        <v>962</v>
      </c>
      <c r="F125" s="2"/>
      <c r="G125" s="1" t="s">
        <v>40</v>
      </c>
      <c r="H125" s="1" t="s">
        <v>47</v>
      </c>
      <c r="I125" s="2"/>
      <c r="J125" s="2"/>
    </row>
    <row r="126" spans="1:10" x14ac:dyDescent="0.3">
      <c r="A126" s="1">
        <v>125</v>
      </c>
      <c r="B126" s="7" t="s">
        <v>1288</v>
      </c>
      <c r="C126" s="9" t="s">
        <v>1316</v>
      </c>
      <c r="D126" s="1">
        <v>320</v>
      </c>
      <c r="E126" s="1" t="s">
        <v>961</v>
      </c>
      <c r="F126" s="2"/>
      <c r="G126" s="1" t="s">
        <v>40</v>
      </c>
      <c r="H126" s="1" t="s">
        <v>27</v>
      </c>
      <c r="I126" s="2"/>
      <c r="J126" s="2"/>
    </row>
    <row r="127" spans="1:10" x14ac:dyDescent="0.3">
      <c r="A127" s="1">
        <v>126</v>
      </c>
      <c r="B127" s="7" t="s">
        <v>1215</v>
      </c>
      <c r="C127" s="9" t="s">
        <v>1316</v>
      </c>
      <c r="D127" s="1">
        <v>320</v>
      </c>
      <c r="E127" s="1" t="s">
        <v>961</v>
      </c>
      <c r="F127" s="2"/>
      <c r="G127" s="1" t="s">
        <v>40</v>
      </c>
      <c r="H127" s="1" t="s">
        <v>27</v>
      </c>
      <c r="I127" s="2"/>
      <c r="J127" s="2"/>
    </row>
    <row r="128" spans="1:10" x14ac:dyDescent="0.3">
      <c r="A128" s="1">
        <v>127</v>
      </c>
      <c r="B128" s="7" t="s">
        <v>42</v>
      </c>
      <c r="C128" s="9" t="s">
        <v>1316</v>
      </c>
      <c r="D128" s="1">
        <v>320</v>
      </c>
      <c r="E128" s="1" t="s">
        <v>43</v>
      </c>
      <c r="F128" s="2"/>
      <c r="G128" s="1" t="s">
        <v>44</v>
      </c>
      <c r="H128" s="1" t="s">
        <v>45</v>
      </c>
      <c r="I128" s="2"/>
      <c r="J128" s="2"/>
    </row>
    <row r="129" spans="1:10" x14ac:dyDescent="0.3">
      <c r="A129" s="1">
        <v>128</v>
      </c>
      <c r="B129" s="7" t="s">
        <v>1123</v>
      </c>
      <c r="C129" s="9" t="s">
        <v>1316</v>
      </c>
      <c r="D129" s="2">
        <v>950</v>
      </c>
      <c r="E129" s="9" t="s">
        <v>6</v>
      </c>
      <c r="F129" s="2"/>
      <c r="G129" s="1" t="s">
        <v>3</v>
      </c>
      <c r="H129" s="1" t="s">
        <v>4</v>
      </c>
      <c r="I129" s="2"/>
      <c r="J129" s="2"/>
    </row>
    <row r="130" spans="1:10" x14ac:dyDescent="0.3">
      <c r="A130" s="1">
        <v>129</v>
      </c>
      <c r="B130" s="7" t="s">
        <v>1122</v>
      </c>
      <c r="C130" s="9" t="s">
        <v>1316</v>
      </c>
      <c r="D130" s="2">
        <v>950</v>
      </c>
      <c r="E130" s="9" t="s">
        <v>967</v>
      </c>
      <c r="F130" s="2"/>
      <c r="G130" s="1" t="s">
        <v>3</v>
      </c>
      <c r="H130" s="1" t="s">
        <v>4</v>
      </c>
      <c r="I130" s="2"/>
      <c r="J130" s="2"/>
    </row>
    <row r="131" spans="1:10" x14ac:dyDescent="0.3">
      <c r="A131" s="1">
        <v>130</v>
      </c>
      <c r="B131" s="7" t="s">
        <v>1243</v>
      </c>
      <c r="C131" s="9" t="s">
        <v>1316</v>
      </c>
      <c r="D131" s="2">
        <v>950</v>
      </c>
      <c r="E131" s="9" t="s">
        <v>1201</v>
      </c>
      <c r="F131" s="2"/>
      <c r="G131" s="1" t="s">
        <v>9</v>
      </c>
      <c r="H131" s="1" t="s">
        <v>10</v>
      </c>
      <c r="I131" s="2"/>
      <c r="J131" s="2"/>
    </row>
    <row r="132" spans="1:10" x14ac:dyDescent="0.3">
      <c r="A132" s="1">
        <v>131</v>
      </c>
      <c r="B132" s="7" t="s">
        <v>1244</v>
      </c>
      <c r="C132" s="9" t="s">
        <v>1316</v>
      </c>
      <c r="D132" s="2">
        <v>950</v>
      </c>
      <c r="E132" s="9" t="s">
        <v>1203</v>
      </c>
      <c r="F132" s="2"/>
      <c r="G132" s="1" t="s">
        <v>13</v>
      </c>
      <c r="H132" s="1" t="s">
        <v>14</v>
      </c>
      <c r="I132" s="2"/>
      <c r="J132" s="2"/>
    </row>
    <row r="133" spans="1:10" x14ac:dyDescent="0.3">
      <c r="A133" s="1">
        <v>132</v>
      </c>
      <c r="B133" s="7" t="s">
        <v>1289</v>
      </c>
      <c r="C133" s="9" t="s">
        <v>1316</v>
      </c>
      <c r="D133" s="2">
        <v>950</v>
      </c>
      <c r="E133" s="9" t="s">
        <v>35</v>
      </c>
      <c r="F133" s="2"/>
      <c r="G133" s="1" t="s">
        <v>9</v>
      </c>
      <c r="H133" s="1" t="s">
        <v>30</v>
      </c>
      <c r="I133" s="2"/>
      <c r="J133" s="2"/>
    </row>
    <row r="134" spans="1:10" x14ac:dyDescent="0.3">
      <c r="A134" s="1">
        <v>133</v>
      </c>
      <c r="B134" s="7" t="s">
        <v>1245</v>
      </c>
      <c r="C134" s="9" t="s">
        <v>1316</v>
      </c>
      <c r="D134" s="2">
        <v>950</v>
      </c>
      <c r="E134" s="9" t="s">
        <v>1134</v>
      </c>
      <c r="F134" s="2"/>
      <c r="G134" s="1" t="s">
        <v>9</v>
      </c>
      <c r="H134" s="1" t="s">
        <v>30</v>
      </c>
      <c r="I134" s="2"/>
      <c r="J134" s="2"/>
    </row>
    <row r="135" spans="1:10" x14ac:dyDescent="0.3">
      <c r="A135" s="1">
        <v>134</v>
      </c>
      <c r="B135" s="7" t="s">
        <v>1040</v>
      </c>
      <c r="C135" s="9" t="s">
        <v>1316</v>
      </c>
      <c r="D135" s="2">
        <v>950</v>
      </c>
      <c r="E135" s="9" t="s">
        <v>23</v>
      </c>
      <c r="F135" s="2"/>
      <c r="G135" s="1" t="s">
        <v>3</v>
      </c>
      <c r="H135" s="1" t="s">
        <v>4</v>
      </c>
      <c r="I135" s="2"/>
      <c r="J135" s="2"/>
    </row>
    <row r="136" spans="1:10" x14ac:dyDescent="0.3">
      <c r="A136" s="1">
        <v>135</v>
      </c>
      <c r="B136" s="7" t="s">
        <v>1041</v>
      </c>
      <c r="C136" s="9" t="s">
        <v>1316</v>
      </c>
      <c r="D136" s="2">
        <v>950</v>
      </c>
      <c r="E136" s="9" t="s">
        <v>32</v>
      </c>
      <c r="F136" s="2"/>
      <c r="G136" s="1" t="s">
        <v>33</v>
      </c>
      <c r="H136" s="1" t="s">
        <v>34</v>
      </c>
      <c r="I136" s="2"/>
      <c r="J136" s="2"/>
    </row>
    <row r="137" spans="1:10" x14ac:dyDescent="0.3">
      <c r="A137" s="1">
        <v>136</v>
      </c>
      <c r="B137" s="7" t="s">
        <v>1139</v>
      </c>
      <c r="C137" s="9" t="s">
        <v>1316</v>
      </c>
      <c r="D137" s="2">
        <v>950</v>
      </c>
      <c r="E137" s="9" t="s">
        <v>1205</v>
      </c>
      <c r="F137" s="2"/>
      <c r="G137" s="1" t="s">
        <v>21</v>
      </c>
      <c r="H137" s="1" t="s">
        <v>22</v>
      </c>
      <c r="I137" s="2"/>
      <c r="J137" s="2"/>
    </row>
    <row r="138" spans="1:10" x14ac:dyDescent="0.3">
      <c r="A138" s="1">
        <v>137</v>
      </c>
      <c r="B138" s="7" t="s">
        <v>1206</v>
      </c>
      <c r="C138" s="9" t="s">
        <v>1316</v>
      </c>
      <c r="D138" s="2">
        <v>950</v>
      </c>
      <c r="E138" s="9" t="s">
        <v>1032</v>
      </c>
      <c r="F138" s="2"/>
      <c r="G138" s="1" t="s">
        <v>26</v>
      </c>
      <c r="H138" s="1" t="s">
        <v>947</v>
      </c>
      <c r="I138" s="2"/>
      <c r="J138" s="2"/>
    </row>
    <row r="139" spans="1:10" x14ac:dyDescent="0.3">
      <c r="A139" s="1">
        <v>138</v>
      </c>
      <c r="B139" s="7" t="s">
        <v>1207</v>
      </c>
      <c r="C139" s="9" t="s">
        <v>1316</v>
      </c>
      <c r="D139" s="2">
        <v>950</v>
      </c>
      <c r="E139" s="9" t="s">
        <v>948</v>
      </c>
      <c r="F139" s="2"/>
      <c r="G139" s="1" t="s">
        <v>26</v>
      </c>
      <c r="H139" s="1" t="s">
        <v>1091</v>
      </c>
      <c r="I139" s="2"/>
      <c r="J139" s="2"/>
    </row>
    <row r="140" spans="1:10" x14ac:dyDescent="0.3">
      <c r="A140" s="1">
        <v>139</v>
      </c>
      <c r="B140" s="7" t="s">
        <v>1209</v>
      </c>
      <c r="C140" s="9" t="s">
        <v>1316</v>
      </c>
      <c r="D140" s="2">
        <v>950</v>
      </c>
      <c r="E140" s="9" t="s">
        <v>950</v>
      </c>
      <c r="F140" s="2"/>
      <c r="G140" s="1" t="s">
        <v>26</v>
      </c>
      <c r="H140" s="1" t="s">
        <v>949</v>
      </c>
      <c r="I140" s="2"/>
      <c r="J140" s="2"/>
    </row>
    <row r="141" spans="1:10" x14ac:dyDescent="0.3">
      <c r="A141" s="1">
        <v>140</v>
      </c>
      <c r="B141" s="7" t="s">
        <v>1246</v>
      </c>
      <c r="C141" s="9" t="s">
        <v>1316</v>
      </c>
      <c r="D141" s="2">
        <v>950</v>
      </c>
      <c r="E141" s="9" t="s">
        <v>1247</v>
      </c>
      <c r="F141" s="2"/>
      <c r="G141" s="1" t="s">
        <v>1189</v>
      </c>
      <c r="H141" s="1" t="s">
        <v>22</v>
      </c>
      <c r="I141" s="2"/>
      <c r="J141" s="2"/>
    </row>
    <row r="142" spans="1:10" x14ac:dyDescent="0.3">
      <c r="A142" s="1">
        <v>141</v>
      </c>
      <c r="B142" s="7" t="s">
        <v>1248</v>
      </c>
      <c r="C142" s="9" t="s">
        <v>1316</v>
      </c>
      <c r="D142" s="2">
        <v>950</v>
      </c>
      <c r="E142" s="9" t="s">
        <v>1191</v>
      </c>
      <c r="F142" s="2"/>
      <c r="G142" s="1" t="s">
        <v>970</v>
      </c>
      <c r="H142" s="1" t="s">
        <v>971</v>
      </c>
      <c r="I142" s="2"/>
      <c r="J142" s="2"/>
    </row>
    <row r="143" spans="1:10" x14ac:dyDescent="0.3">
      <c r="A143" s="1">
        <v>142</v>
      </c>
      <c r="B143" s="7" t="s">
        <v>1290</v>
      </c>
      <c r="C143" s="9" t="s">
        <v>1316</v>
      </c>
      <c r="D143" s="2">
        <v>950</v>
      </c>
      <c r="E143" s="9" t="s">
        <v>25</v>
      </c>
      <c r="F143" s="2"/>
      <c r="G143" s="1" t="s">
        <v>26</v>
      </c>
      <c r="H143" s="1" t="s">
        <v>57</v>
      </c>
      <c r="I143" s="2"/>
      <c r="J143" s="2"/>
    </row>
    <row r="144" spans="1:10" x14ac:dyDescent="0.3">
      <c r="A144" s="1">
        <v>143</v>
      </c>
      <c r="B144" s="7" t="s">
        <v>1291</v>
      </c>
      <c r="C144" s="9" t="s">
        <v>1316</v>
      </c>
      <c r="D144" s="2">
        <v>950</v>
      </c>
      <c r="E144" s="9" t="s">
        <v>1192</v>
      </c>
      <c r="F144" s="2"/>
      <c r="G144" s="1" t="s">
        <v>40</v>
      </c>
      <c r="H144" s="1" t="s">
        <v>55</v>
      </c>
      <c r="I144" s="2"/>
      <c r="J144" s="2"/>
    </row>
    <row r="145" spans="1:10" x14ac:dyDescent="0.3">
      <c r="A145" s="1">
        <v>144</v>
      </c>
      <c r="B145" s="7" t="s">
        <v>1292</v>
      </c>
      <c r="C145" s="9" t="s">
        <v>1316</v>
      </c>
      <c r="D145" s="2">
        <v>950</v>
      </c>
      <c r="E145" s="9" t="s">
        <v>1193</v>
      </c>
      <c r="F145" s="2"/>
      <c r="G145" s="1" t="s">
        <v>40</v>
      </c>
      <c r="H145" s="1" t="s">
        <v>47</v>
      </c>
      <c r="I145" s="2"/>
      <c r="J145" s="2"/>
    </row>
    <row r="146" spans="1:10" x14ac:dyDescent="0.3">
      <c r="A146" s="1">
        <v>145</v>
      </c>
      <c r="B146" s="7" t="s">
        <v>1293</v>
      </c>
      <c r="C146" s="9" t="s">
        <v>1316</v>
      </c>
      <c r="D146" s="2">
        <v>950</v>
      </c>
      <c r="E146" s="9" t="s">
        <v>1195</v>
      </c>
      <c r="F146" s="2"/>
      <c r="G146" s="1" t="s">
        <v>40</v>
      </c>
      <c r="H146" s="1" t="s">
        <v>55</v>
      </c>
      <c r="I146" s="2"/>
      <c r="J146" s="2"/>
    </row>
    <row r="147" spans="1:10" x14ac:dyDescent="0.3">
      <c r="A147" s="1">
        <v>146</v>
      </c>
      <c r="B147" s="7" t="s">
        <v>1210</v>
      </c>
      <c r="C147" s="9" t="s">
        <v>1316</v>
      </c>
      <c r="D147" s="2">
        <v>950</v>
      </c>
      <c r="E147" s="9" t="s">
        <v>1211</v>
      </c>
      <c r="F147" s="2"/>
      <c r="G147" s="1" t="s">
        <v>1087</v>
      </c>
      <c r="H147" s="1" t="s">
        <v>18</v>
      </c>
      <c r="I147" s="2"/>
      <c r="J147" s="2"/>
    </row>
    <row r="148" spans="1:10" x14ac:dyDescent="0.3">
      <c r="A148" s="1">
        <v>147</v>
      </c>
      <c r="B148" s="7" t="s">
        <v>1249</v>
      </c>
      <c r="C148" s="9" t="s">
        <v>1316</v>
      </c>
      <c r="D148" s="2">
        <v>950</v>
      </c>
      <c r="E148" s="9" t="s">
        <v>48</v>
      </c>
      <c r="F148" s="2"/>
      <c r="G148" s="1" t="s">
        <v>21</v>
      </c>
      <c r="H148" s="1" t="s">
        <v>22</v>
      </c>
      <c r="I148" s="2"/>
      <c r="J148" s="2"/>
    </row>
    <row r="149" spans="1:10" x14ac:dyDescent="0.3">
      <c r="A149" s="1">
        <v>148</v>
      </c>
      <c r="B149" s="7" t="s">
        <v>1287</v>
      </c>
      <c r="C149" s="9" t="s">
        <v>1316</v>
      </c>
      <c r="D149" s="2">
        <v>950</v>
      </c>
      <c r="E149" s="9" t="s">
        <v>962</v>
      </c>
      <c r="F149" s="2"/>
      <c r="G149" s="1" t="s">
        <v>40</v>
      </c>
      <c r="H149" s="1" t="s">
        <v>47</v>
      </c>
      <c r="I149" s="2"/>
      <c r="J149" s="2"/>
    </row>
    <row r="150" spans="1:10" x14ac:dyDescent="0.3">
      <c r="A150" s="1">
        <v>149</v>
      </c>
      <c r="B150" s="7" t="s">
        <v>1288</v>
      </c>
      <c r="C150" s="9" t="s">
        <v>1316</v>
      </c>
      <c r="D150" s="2">
        <v>950</v>
      </c>
      <c r="E150" s="9" t="s">
        <v>961</v>
      </c>
      <c r="F150" s="2"/>
      <c r="G150" s="1" t="s">
        <v>40</v>
      </c>
      <c r="H150" s="1" t="s">
        <v>27</v>
      </c>
      <c r="I150" s="2"/>
      <c r="J150" s="2"/>
    </row>
    <row r="151" spans="1:10" x14ac:dyDescent="0.3">
      <c r="A151" s="1">
        <v>150</v>
      </c>
      <c r="B151" s="7" t="s">
        <v>1294</v>
      </c>
      <c r="C151" s="9" t="s">
        <v>1316</v>
      </c>
      <c r="D151" s="2">
        <v>950</v>
      </c>
      <c r="E151" s="9" t="s">
        <v>39</v>
      </c>
      <c r="F151" s="2"/>
      <c r="G151" s="1" t="s">
        <v>40</v>
      </c>
      <c r="H151" s="1" t="s">
        <v>27</v>
      </c>
      <c r="I151" s="2"/>
      <c r="J151" s="2"/>
    </row>
    <row r="152" spans="1:10" x14ac:dyDescent="0.3">
      <c r="A152" s="1">
        <v>151</v>
      </c>
      <c r="B152" s="7" t="s">
        <v>42</v>
      </c>
      <c r="C152" s="9" t="s">
        <v>1316</v>
      </c>
      <c r="D152" s="2">
        <v>950</v>
      </c>
      <c r="E152" s="9" t="s">
        <v>43</v>
      </c>
      <c r="F152" s="2"/>
      <c r="G152" s="1" t="s">
        <v>44</v>
      </c>
      <c r="H152" s="1" t="s">
        <v>45</v>
      </c>
      <c r="I152" s="2"/>
      <c r="J152" s="2"/>
    </row>
    <row r="153" spans="1:10" x14ac:dyDescent="0.3">
      <c r="A153" s="1">
        <v>152</v>
      </c>
      <c r="B153" s="7" t="s">
        <v>1177</v>
      </c>
      <c r="C153" s="9" t="s">
        <v>1316</v>
      </c>
      <c r="D153" s="2">
        <v>950</v>
      </c>
      <c r="E153" s="9" t="s">
        <v>1121</v>
      </c>
      <c r="F153" s="2"/>
      <c r="G153" s="1" t="s">
        <v>49</v>
      </c>
      <c r="H153" s="1" t="s">
        <v>57</v>
      </c>
      <c r="I153" s="2"/>
      <c r="J153" s="2"/>
    </row>
    <row r="154" spans="1:10" x14ac:dyDescent="0.3">
      <c r="A154" s="1">
        <v>153</v>
      </c>
      <c r="B154" s="7">
        <v>4676385</v>
      </c>
      <c r="C154" s="9" t="s">
        <v>1315</v>
      </c>
      <c r="D154" s="1" t="s">
        <v>1108</v>
      </c>
      <c r="E154" s="9" t="s">
        <v>1</v>
      </c>
      <c r="F154" s="2"/>
      <c r="G154" s="1" t="s">
        <v>3</v>
      </c>
      <c r="H154" s="1" t="s">
        <v>4</v>
      </c>
      <c r="I154" s="2"/>
      <c r="J154" s="2"/>
    </row>
    <row r="155" spans="1:10" x14ac:dyDescent="0.3">
      <c r="A155" s="1">
        <v>154</v>
      </c>
      <c r="B155" s="7">
        <v>4696643</v>
      </c>
      <c r="C155" s="9" t="s">
        <v>1315</v>
      </c>
      <c r="D155" s="1" t="s">
        <v>1108</v>
      </c>
      <c r="E155" s="9" t="s">
        <v>6</v>
      </c>
      <c r="F155" s="2"/>
      <c r="G155" s="1" t="s">
        <v>3</v>
      </c>
      <c r="H155" s="1" t="s">
        <v>4</v>
      </c>
      <c r="I155" s="2"/>
      <c r="J155" s="2"/>
    </row>
    <row r="156" spans="1:10" x14ac:dyDescent="0.3">
      <c r="A156" s="1">
        <v>155</v>
      </c>
      <c r="B156" s="7">
        <v>4286128</v>
      </c>
      <c r="C156" s="9" t="s">
        <v>1315</v>
      </c>
      <c r="D156" s="1" t="s">
        <v>1108</v>
      </c>
      <c r="E156" s="9" t="s">
        <v>8</v>
      </c>
      <c r="F156" s="2"/>
      <c r="G156" s="1" t="s">
        <v>9</v>
      </c>
      <c r="H156" s="1" t="s">
        <v>10</v>
      </c>
      <c r="I156" s="2"/>
      <c r="J156" s="2"/>
    </row>
    <row r="157" spans="1:10" x14ac:dyDescent="0.3">
      <c r="A157" s="1">
        <v>156</v>
      </c>
      <c r="B157" s="7">
        <v>4286129</v>
      </c>
      <c r="C157" s="9" t="s">
        <v>1315</v>
      </c>
      <c r="D157" s="1" t="s">
        <v>1108</v>
      </c>
      <c r="E157" s="9" t="s">
        <v>12</v>
      </c>
      <c r="F157" s="2"/>
      <c r="G157" s="1" t="s">
        <v>13</v>
      </c>
      <c r="H157" s="1" t="s">
        <v>14</v>
      </c>
      <c r="I157" s="2"/>
      <c r="J157" s="2"/>
    </row>
    <row r="158" spans="1:10" x14ac:dyDescent="0.3">
      <c r="A158" s="1">
        <v>157</v>
      </c>
      <c r="B158" s="7">
        <v>4448402</v>
      </c>
      <c r="C158" s="9" t="s">
        <v>1315</v>
      </c>
      <c r="D158" s="1" t="s">
        <v>1108</v>
      </c>
      <c r="E158" s="9" t="s">
        <v>35</v>
      </c>
      <c r="F158" s="2"/>
      <c r="G158" s="1" t="s">
        <v>9</v>
      </c>
      <c r="H158" s="1" t="s">
        <v>30</v>
      </c>
      <c r="I158" s="2"/>
      <c r="J158" s="2"/>
    </row>
    <row r="159" spans="1:10" x14ac:dyDescent="0.3">
      <c r="A159" s="1">
        <v>158</v>
      </c>
      <c r="B159" s="7">
        <v>4630525</v>
      </c>
      <c r="C159" s="9" t="s">
        <v>1315</v>
      </c>
      <c r="D159" s="1" t="s">
        <v>1108</v>
      </c>
      <c r="E159" s="9" t="s">
        <v>1083</v>
      </c>
      <c r="F159" s="2"/>
      <c r="G159" s="1" t="s">
        <v>9</v>
      </c>
      <c r="H159" s="1" t="s">
        <v>30</v>
      </c>
      <c r="I159" s="2"/>
      <c r="J159" s="2"/>
    </row>
    <row r="160" spans="1:10" x14ac:dyDescent="0.3">
      <c r="A160" s="1">
        <v>159</v>
      </c>
      <c r="B160" s="7" t="s">
        <v>1278</v>
      </c>
      <c r="C160" s="9" t="s">
        <v>1315</v>
      </c>
      <c r="D160" s="1" t="s">
        <v>1108</v>
      </c>
      <c r="E160" s="9" t="s">
        <v>1085</v>
      </c>
      <c r="F160" s="2"/>
      <c r="G160" s="1" t="s">
        <v>9</v>
      </c>
      <c r="H160" s="1" t="s">
        <v>30</v>
      </c>
      <c r="I160" s="2"/>
      <c r="J160" s="2"/>
    </row>
    <row r="161" spans="1:10" x14ac:dyDescent="0.3">
      <c r="A161" s="1">
        <v>160</v>
      </c>
      <c r="B161" s="7">
        <v>8973060442</v>
      </c>
      <c r="C161" s="9" t="s">
        <v>1315</v>
      </c>
      <c r="D161" s="1" t="s">
        <v>1108</v>
      </c>
      <c r="E161" s="9" t="s">
        <v>1109</v>
      </c>
      <c r="F161" s="2"/>
      <c r="G161" s="1" t="s">
        <v>1087</v>
      </c>
      <c r="H161" s="1" t="s">
        <v>18</v>
      </c>
      <c r="I161" s="2"/>
      <c r="J161" s="2"/>
    </row>
    <row r="162" spans="1:10" x14ac:dyDescent="0.3">
      <c r="A162" s="1">
        <v>161</v>
      </c>
      <c r="B162" s="7">
        <v>4635645</v>
      </c>
      <c r="C162" s="9" t="s">
        <v>1315</v>
      </c>
      <c r="D162" s="1" t="s">
        <v>1108</v>
      </c>
      <c r="E162" s="9" t="s">
        <v>1031</v>
      </c>
      <c r="F162" s="2"/>
      <c r="G162" s="1" t="s">
        <v>40</v>
      </c>
      <c r="H162" s="1" t="s">
        <v>55</v>
      </c>
      <c r="I162" s="2"/>
      <c r="J162" s="2"/>
    </row>
    <row r="163" spans="1:10" x14ac:dyDescent="0.3">
      <c r="A163" s="1">
        <v>162</v>
      </c>
      <c r="B163" s="7">
        <v>4633473</v>
      </c>
      <c r="C163" s="9" t="s">
        <v>1315</v>
      </c>
      <c r="D163" s="1" t="s">
        <v>1108</v>
      </c>
      <c r="E163" s="9" t="s">
        <v>945</v>
      </c>
      <c r="F163" s="2"/>
      <c r="G163" s="1" t="s">
        <v>40</v>
      </c>
      <c r="H163" s="1" t="s">
        <v>55</v>
      </c>
      <c r="I163" s="2"/>
      <c r="J163" s="2"/>
    </row>
    <row r="164" spans="1:10" x14ac:dyDescent="0.3">
      <c r="A164" s="1">
        <v>163</v>
      </c>
      <c r="B164" s="7">
        <v>4636857</v>
      </c>
      <c r="C164" s="9" t="s">
        <v>1315</v>
      </c>
      <c r="D164" s="1" t="s">
        <v>1108</v>
      </c>
      <c r="E164" s="9" t="s">
        <v>946</v>
      </c>
      <c r="F164" s="2"/>
      <c r="G164" s="1" t="s">
        <v>40</v>
      </c>
      <c r="H164" s="1" t="s">
        <v>55</v>
      </c>
      <c r="I164" s="2"/>
      <c r="J164" s="2"/>
    </row>
    <row r="165" spans="1:10" x14ac:dyDescent="0.3">
      <c r="A165" s="1">
        <v>164</v>
      </c>
      <c r="B165" s="7" t="s">
        <v>1110</v>
      </c>
      <c r="C165" s="9" t="s">
        <v>1315</v>
      </c>
      <c r="D165" s="1" t="s">
        <v>1108</v>
      </c>
      <c r="E165" s="9" t="s">
        <v>1032</v>
      </c>
      <c r="F165" s="2"/>
      <c r="G165" s="1" t="s">
        <v>26</v>
      </c>
      <c r="H165" s="1" t="s">
        <v>947</v>
      </c>
      <c r="I165" s="2"/>
      <c r="J165" s="2"/>
    </row>
    <row r="166" spans="1:10" x14ac:dyDescent="0.3">
      <c r="A166" s="1">
        <v>165</v>
      </c>
      <c r="B166" s="7" t="s">
        <v>1111</v>
      </c>
      <c r="C166" s="9" t="s">
        <v>1315</v>
      </c>
      <c r="D166" s="1" t="s">
        <v>1108</v>
      </c>
      <c r="E166" s="9" t="s">
        <v>948</v>
      </c>
      <c r="F166" s="2"/>
      <c r="G166" s="1" t="s">
        <v>26</v>
      </c>
      <c r="H166" s="1" t="s">
        <v>1091</v>
      </c>
      <c r="I166" s="2"/>
      <c r="J166" s="2"/>
    </row>
    <row r="167" spans="1:10" x14ac:dyDescent="0.3">
      <c r="A167" s="1">
        <v>166</v>
      </c>
      <c r="B167" s="7" t="s">
        <v>1112</v>
      </c>
      <c r="C167" s="9" t="s">
        <v>1315</v>
      </c>
      <c r="D167" s="1" t="s">
        <v>1108</v>
      </c>
      <c r="E167" s="9" t="s">
        <v>955</v>
      </c>
      <c r="F167" s="2"/>
      <c r="G167" s="1" t="s">
        <v>26</v>
      </c>
      <c r="H167" s="1" t="s">
        <v>50</v>
      </c>
      <c r="I167" s="2"/>
      <c r="J167" s="2"/>
    </row>
    <row r="168" spans="1:10" x14ac:dyDescent="0.3">
      <c r="A168" s="1">
        <v>167</v>
      </c>
      <c r="B168" s="7" t="s">
        <v>1113</v>
      </c>
      <c r="C168" s="9" t="s">
        <v>1315</v>
      </c>
      <c r="D168" s="1" t="s">
        <v>1108</v>
      </c>
      <c r="E168" s="9" t="s">
        <v>952</v>
      </c>
      <c r="F168" s="2"/>
      <c r="G168" s="1" t="s">
        <v>26</v>
      </c>
      <c r="H168" s="1" t="s">
        <v>22</v>
      </c>
      <c r="I168" s="2"/>
      <c r="J168" s="2"/>
    </row>
    <row r="169" spans="1:10" x14ac:dyDescent="0.3">
      <c r="A169" s="1">
        <v>168</v>
      </c>
      <c r="B169" s="7" t="s">
        <v>1114</v>
      </c>
      <c r="C169" s="9" t="s">
        <v>1315</v>
      </c>
      <c r="D169" s="1" t="s">
        <v>1108</v>
      </c>
      <c r="E169" s="9" t="s">
        <v>953</v>
      </c>
      <c r="F169" s="2"/>
      <c r="G169" s="1" t="s">
        <v>26</v>
      </c>
      <c r="H169" s="1" t="s">
        <v>50</v>
      </c>
      <c r="I169" s="2"/>
      <c r="J169" s="2"/>
    </row>
    <row r="170" spans="1:10" x14ac:dyDescent="0.3">
      <c r="A170" s="1">
        <v>169</v>
      </c>
      <c r="B170" s="7" t="s">
        <v>1115</v>
      </c>
      <c r="C170" s="9" t="s">
        <v>1315</v>
      </c>
      <c r="D170" s="1" t="s">
        <v>1108</v>
      </c>
      <c r="E170" s="9" t="s">
        <v>954</v>
      </c>
      <c r="F170" s="2"/>
      <c r="G170" s="1" t="s">
        <v>26</v>
      </c>
      <c r="H170" s="1" t="s">
        <v>50</v>
      </c>
      <c r="I170" s="2"/>
      <c r="J170" s="2"/>
    </row>
    <row r="171" spans="1:10" x14ac:dyDescent="0.3">
      <c r="A171" s="1">
        <v>170</v>
      </c>
      <c r="B171" s="7" t="s">
        <v>1116</v>
      </c>
      <c r="C171" s="9" t="s">
        <v>1315</v>
      </c>
      <c r="D171" s="1" t="s">
        <v>1108</v>
      </c>
      <c r="E171" s="9" t="s">
        <v>1039</v>
      </c>
      <c r="F171" s="2"/>
      <c r="G171" s="1" t="s">
        <v>26</v>
      </c>
      <c r="H171" s="1" t="s">
        <v>22</v>
      </c>
      <c r="I171" s="2"/>
      <c r="J171" s="2"/>
    </row>
    <row r="172" spans="1:10" x14ac:dyDescent="0.3">
      <c r="A172" s="1">
        <v>171</v>
      </c>
      <c r="B172" s="7" t="s">
        <v>1040</v>
      </c>
      <c r="C172" s="9" t="s">
        <v>1315</v>
      </c>
      <c r="D172" s="1" t="s">
        <v>1108</v>
      </c>
      <c r="E172" s="9" t="s">
        <v>1117</v>
      </c>
      <c r="F172" s="2"/>
      <c r="G172" s="1" t="s">
        <v>3</v>
      </c>
      <c r="H172" s="1" t="s">
        <v>4</v>
      </c>
      <c r="I172" s="2"/>
      <c r="J172" s="2"/>
    </row>
    <row r="173" spans="1:10" x14ac:dyDescent="0.3">
      <c r="A173" s="1">
        <v>172</v>
      </c>
      <c r="B173" s="7" t="s">
        <v>1041</v>
      </c>
      <c r="C173" s="9" t="s">
        <v>1315</v>
      </c>
      <c r="D173" s="1" t="s">
        <v>1108</v>
      </c>
      <c r="E173" s="9" t="s">
        <v>32</v>
      </c>
      <c r="F173" s="2"/>
      <c r="G173" s="1" t="s">
        <v>33</v>
      </c>
      <c r="H173" s="1" t="s">
        <v>34</v>
      </c>
      <c r="I173" s="2"/>
      <c r="J173" s="2"/>
    </row>
    <row r="174" spans="1:10" x14ac:dyDescent="0.3">
      <c r="A174" s="1">
        <v>173</v>
      </c>
      <c r="B174" s="7" t="s">
        <v>36</v>
      </c>
      <c r="C174" s="9" t="s">
        <v>1315</v>
      </c>
      <c r="D174" s="1" t="s">
        <v>1108</v>
      </c>
      <c r="E174" s="9" t="s">
        <v>1118</v>
      </c>
      <c r="F174" s="2"/>
      <c r="G174" s="1" t="s">
        <v>21</v>
      </c>
      <c r="H174" s="1" t="s">
        <v>22</v>
      </c>
      <c r="I174" s="2"/>
      <c r="J174" s="2"/>
    </row>
    <row r="175" spans="1:10" x14ac:dyDescent="0.3">
      <c r="A175" s="1">
        <v>174</v>
      </c>
      <c r="B175" s="7" t="s">
        <v>1119</v>
      </c>
      <c r="C175" s="9" t="s">
        <v>1315</v>
      </c>
      <c r="D175" s="1" t="s">
        <v>1108</v>
      </c>
      <c r="E175" s="9" t="s">
        <v>293</v>
      </c>
      <c r="F175" s="2"/>
      <c r="G175" s="1" t="s">
        <v>44</v>
      </c>
      <c r="H175" s="1" t="s">
        <v>45</v>
      </c>
      <c r="I175" s="2"/>
      <c r="J175" s="2"/>
    </row>
    <row r="176" spans="1:10" x14ac:dyDescent="0.3">
      <c r="A176" s="1">
        <v>175</v>
      </c>
      <c r="B176" s="7" t="s">
        <v>1120</v>
      </c>
      <c r="C176" s="9" t="s">
        <v>1315</v>
      </c>
      <c r="D176" s="1" t="s">
        <v>1108</v>
      </c>
      <c r="E176" s="9" t="s">
        <v>1121</v>
      </c>
      <c r="F176" s="2"/>
      <c r="G176" s="1" t="s">
        <v>49</v>
      </c>
      <c r="H176" s="1" t="s">
        <v>57</v>
      </c>
      <c r="I176" s="2"/>
      <c r="J176" s="2"/>
    </row>
    <row r="177" spans="1:10" x14ac:dyDescent="0.3">
      <c r="A177" s="1">
        <v>176</v>
      </c>
      <c r="B177" s="7">
        <v>8981851950</v>
      </c>
      <c r="C177" s="9" t="s">
        <v>1315</v>
      </c>
      <c r="D177" s="1" t="s">
        <v>1108</v>
      </c>
      <c r="E177" s="9" t="s">
        <v>961</v>
      </c>
      <c r="F177" s="2"/>
      <c r="G177" s="1" t="s">
        <v>40</v>
      </c>
      <c r="H177" s="1" t="s">
        <v>27</v>
      </c>
      <c r="I177" s="2"/>
      <c r="J177" s="2"/>
    </row>
    <row r="178" spans="1:10" x14ac:dyDescent="0.3">
      <c r="A178" s="1">
        <v>177</v>
      </c>
      <c r="B178" s="7">
        <v>8980556590</v>
      </c>
      <c r="C178" s="9" t="s">
        <v>1315</v>
      </c>
      <c r="D178" s="1" t="s">
        <v>1108</v>
      </c>
      <c r="E178" s="9" t="s">
        <v>39</v>
      </c>
      <c r="F178" s="2"/>
      <c r="G178" s="1" t="s">
        <v>40</v>
      </c>
      <c r="H178" s="1" t="s">
        <v>27</v>
      </c>
      <c r="I178" s="2"/>
      <c r="J178" s="2"/>
    </row>
    <row r="179" spans="1:10" x14ac:dyDescent="0.3">
      <c r="A179" s="1">
        <v>178</v>
      </c>
      <c r="B179" s="7" t="s">
        <v>1223</v>
      </c>
      <c r="C179" s="9" t="s">
        <v>1315</v>
      </c>
      <c r="D179" s="2" t="s">
        <v>1225</v>
      </c>
      <c r="E179" s="9" t="s">
        <v>1224</v>
      </c>
      <c r="F179" s="2"/>
      <c r="G179" s="1" t="s">
        <v>3</v>
      </c>
      <c r="H179" s="1" t="s">
        <v>4</v>
      </c>
      <c r="I179" s="2"/>
      <c r="J179" s="2"/>
    </row>
    <row r="180" spans="1:10" x14ac:dyDescent="0.3">
      <c r="A180" s="1">
        <v>179</v>
      </c>
      <c r="B180" s="7" t="s">
        <v>1226</v>
      </c>
      <c r="C180" s="9" t="s">
        <v>1315</v>
      </c>
      <c r="D180" s="2" t="s">
        <v>1225</v>
      </c>
      <c r="E180" s="9" t="s">
        <v>1227</v>
      </c>
      <c r="F180" s="2"/>
      <c r="G180" s="1" t="s">
        <v>3</v>
      </c>
      <c r="H180" s="1" t="s">
        <v>4</v>
      </c>
      <c r="I180" s="2"/>
      <c r="J180" s="2"/>
    </row>
    <row r="181" spans="1:10" x14ac:dyDescent="0.3">
      <c r="A181" s="1">
        <v>180</v>
      </c>
      <c r="B181" s="7" t="s">
        <v>1228</v>
      </c>
      <c r="C181" s="9" t="s">
        <v>1315</v>
      </c>
      <c r="D181" s="2" t="s">
        <v>1225</v>
      </c>
      <c r="E181" s="9" t="s">
        <v>8</v>
      </c>
      <c r="F181" s="2"/>
      <c r="G181" s="1" t="s">
        <v>9</v>
      </c>
      <c r="H181" s="1" t="s">
        <v>10</v>
      </c>
      <c r="I181" s="2"/>
      <c r="J181" s="2"/>
    </row>
    <row r="182" spans="1:10" x14ac:dyDescent="0.3">
      <c r="A182" s="1">
        <v>181</v>
      </c>
      <c r="B182" s="7" t="s">
        <v>1229</v>
      </c>
      <c r="C182" s="9" t="s">
        <v>1315</v>
      </c>
      <c r="D182" s="2" t="s">
        <v>1225</v>
      </c>
      <c r="E182" s="9" t="s">
        <v>12</v>
      </c>
      <c r="F182" s="2"/>
      <c r="G182" s="1" t="s">
        <v>13</v>
      </c>
      <c r="H182" s="1" t="s">
        <v>14</v>
      </c>
      <c r="I182" s="2"/>
      <c r="J182" s="2"/>
    </row>
    <row r="183" spans="1:10" x14ac:dyDescent="0.3">
      <c r="A183" s="1">
        <v>182</v>
      </c>
      <c r="B183" s="7" t="s">
        <v>1230</v>
      </c>
      <c r="C183" s="9" t="s">
        <v>1315</v>
      </c>
      <c r="D183" s="2" t="s">
        <v>1225</v>
      </c>
      <c r="E183" s="9" t="s">
        <v>35</v>
      </c>
      <c r="F183" s="2"/>
      <c r="G183" s="1" t="s">
        <v>9</v>
      </c>
      <c r="H183" s="1" t="s">
        <v>30</v>
      </c>
      <c r="I183" s="2"/>
      <c r="J183" s="2"/>
    </row>
    <row r="184" spans="1:10" x14ac:dyDescent="0.3">
      <c r="A184" s="1">
        <v>183</v>
      </c>
      <c r="B184" s="7">
        <v>3318853</v>
      </c>
      <c r="C184" s="9" t="s">
        <v>1315</v>
      </c>
      <c r="D184" s="2" t="s">
        <v>1225</v>
      </c>
      <c r="E184" s="9" t="s">
        <v>1231</v>
      </c>
      <c r="F184" s="2"/>
      <c r="G184" s="1" t="s">
        <v>9</v>
      </c>
      <c r="H184" s="1" t="s">
        <v>30</v>
      </c>
      <c r="I184" s="2"/>
      <c r="J184" s="2"/>
    </row>
    <row r="185" spans="1:10" x14ac:dyDescent="0.3">
      <c r="A185" s="1">
        <v>184</v>
      </c>
      <c r="B185" s="7" t="s">
        <v>1040</v>
      </c>
      <c r="C185" s="9" t="s">
        <v>1315</v>
      </c>
      <c r="D185" s="2" t="s">
        <v>1225</v>
      </c>
      <c r="E185" s="9" t="s">
        <v>23</v>
      </c>
      <c r="F185" s="2"/>
      <c r="G185" s="1" t="s">
        <v>3</v>
      </c>
      <c r="H185" s="1" t="s">
        <v>4</v>
      </c>
      <c r="I185" s="2"/>
      <c r="J185" s="2"/>
    </row>
    <row r="186" spans="1:10" x14ac:dyDescent="0.3">
      <c r="A186" s="1">
        <v>185</v>
      </c>
      <c r="B186" s="7" t="s">
        <v>1041</v>
      </c>
      <c r="C186" s="9" t="s">
        <v>1315</v>
      </c>
      <c r="D186" s="2" t="s">
        <v>1225</v>
      </c>
      <c r="E186" s="9" t="s">
        <v>32</v>
      </c>
      <c r="F186" s="2"/>
      <c r="G186" s="1" t="s">
        <v>33</v>
      </c>
      <c r="H186" s="1" t="s">
        <v>34</v>
      </c>
      <c r="I186" s="2"/>
      <c r="J186" s="2"/>
    </row>
    <row r="187" spans="1:10" x14ac:dyDescent="0.3">
      <c r="A187" s="1">
        <v>186</v>
      </c>
      <c r="B187" s="7" t="s">
        <v>1139</v>
      </c>
      <c r="C187" s="9" t="s">
        <v>1315</v>
      </c>
      <c r="D187" s="2" t="s">
        <v>1225</v>
      </c>
      <c r="E187" s="9" t="s">
        <v>1205</v>
      </c>
      <c r="F187" s="2"/>
      <c r="G187" s="1" t="s">
        <v>21</v>
      </c>
      <c r="H187" s="1" t="s">
        <v>22</v>
      </c>
      <c r="I187" s="2"/>
      <c r="J187" s="2"/>
    </row>
    <row r="188" spans="1:10" x14ac:dyDescent="0.3">
      <c r="A188" s="1">
        <v>187</v>
      </c>
      <c r="B188" s="7" t="s">
        <v>1232</v>
      </c>
      <c r="C188" s="9" t="s">
        <v>1315</v>
      </c>
      <c r="D188" s="2" t="s">
        <v>1225</v>
      </c>
      <c r="E188" s="9" t="s">
        <v>1233</v>
      </c>
      <c r="F188" s="2"/>
      <c r="G188" s="1" t="s">
        <v>1189</v>
      </c>
      <c r="H188" s="1" t="s">
        <v>57</v>
      </c>
      <c r="I188" s="2"/>
      <c r="J188" s="2"/>
    </row>
    <row r="189" spans="1:10" x14ac:dyDescent="0.3">
      <c r="A189" s="1">
        <v>188</v>
      </c>
      <c r="B189" s="7" t="s">
        <v>1234</v>
      </c>
      <c r="C189" s="9" t="s">
        <v>1315</v>
      </c>
      <c r="D189" s="2" t="s">
        <v>1225</v>
      </c>
      <c r="E189" s="9" t="s">
        <v>1191</v>
      </c>
      <c r="F189" s="2"/>
      <c r="G189" s="1" t="s">
        <v>970</v>
      </c>
      <c r="H189" s="1" t="s">
        <v>1053</v>
      </c>
      <c r="I189" s="2"/>
      <c r="J189" s="2"/>
    </row>
    <row r="190" spans="1:10" x14ac:dyDescent="0.3">
      <c r="A190" s="1">
        <v>189</v>
      </c>
      <c r="B190" s="7" t="s">
        <v>1235</v>
      </c>
      <c r="C190" s="9" t="s">
        <v>1315</v>
      </c>
      <c r="D190" s="2" t="s">
        <v>1225</v>
      </c>
      <c r="E190" s="9" t="s">
        <v>1236</v>
      </c>
      <c r="F190" s="2"/>
      <c r="G190" s="1" t="s">
        <v>26</v>
      </c>
      <c r="H190" s="1" t="s">
        <v>56</v>
      </c>
      <c r="I190" s="2"/>
      <c r="J190" s="2"/>
    </row>
    <row r="191" spans="1:10" x14ac:dyDescent="0.3">
      <c r="A191" s="1">
        <v>190</v>
      </c>
      <c r="B191" s="7">
        <v>4061851</v>
      </c>
      <c r="C191" s="9" t="s">
        <v>1315</v>
      </c>
      <c r="D191" s="2" t="s">
        <v>1225</v>
      </c>
      <c r="E191" s="9" t="s">
        <v>1237</v>
      </c>
      <c r="F191" s="2"/>
      <c r="G191" s="1" t="s">
        <v>1087</v>
      </c>
      <c r="H191" s="1" t="s">
        <v>18</v>
      </c>
      <c r="I191" s="2"/>
      <c r="J191" s="2"/>
    </row>
    <row r="192" spans="1:10" x14ac:dyDescent="0.3">
      <c r="A192" s="1">
        <v>191</v>
      </c>
      <c r="B192" s="7">
        <v>4954200</v>
      </c>
      <c r="C192" s="9" t="s">
        <v>1315</v>
      </c>
      <c r="D192" s="2" t="s">
        <v>1225</v>
      </c>
      <c r="E192" s="9" t="s">
        <v>1238</v>
      </c>
      <c r="F192" s="2"/>
      <c r="G192" s="1" t="s">
        <v>40</v>
      </c>
      <c r="H192" s="1" t="s">
        <v>27</v>
      </c>
      <c r="I192" s="2"/>
      <c r="J192" s="2"/>
    </row>
    <row r="193" spans="1:10" x14ac:dyDescent="0.3">
      <c r="A193" s="1">
        <v>192</v>
      </c>
      <c r="B193" s="7">
        <v>8970300051</v>
      </c>
      <c r="C193" s="9" t="s">
        <v>1315</v>
      </c>
      <c r="D193" s="2" t="s">
        <v>1225</v>
      </c>
      <c r="E193" s="9" t="s">
        <v>1192</v>
      </c>
      <c r="F193" s="2"/>
      <c r="G193" s="1" t="s">
        <v>40</v>
      </c>
      <c r="H193" s="1" t="s">
        <v>55</v>
      </c>
      <c r="I193" s="2"/>
      <c r="J193" s="2"/>
    </row>
    <row r="194" spans="1:10" x14ac:dyDescent="0.3">
      <c r="A194" s="1">
        <v>193</v>
      </c>
      <c r="B194" s="7">
        <v>4633371</v>
      </c>
      <c r="C194" s="9" t="s">
        <v>1315</v>
      </c>
      <c r="D194" s="2" t="s">
        <v>1225</v>
      </c>
      <c r="E194" s="9" t="s">
        <v>1222</v>
      </c>
      <c r="F194" s="2"/>
      <c r="G194" s="1" t="s">
        <v>49</v>
      </c>
      <c r="H194" s="1" t="s">
        <v>57</v>
      </c>
      <c r="I194" s="2"/>
      <c r="J194" s="2"/>
    </row>
    <row r="195" spans="1:10" x14ac:dyDescent="0.3">
      <c r="A195" s="1">
        <v>194</v>
      </c>
      <c r="B195" s="7">
        <v>8970300052</v>
      </c>
      <c r="C195" s="9" t="s">
        <v>1315</v>
      </c>
      <c r="D195" s="2" t="s">
        <v>1225</v>
      </c>
      <c r="E195" s="9" t="s">
        <v>1193</v>
      </c>
      <c r="F195" s="2"/>
      <c r="G195" s="1" t="s">
        <v>40</v>
      </c>
      <c r="H195" s="1" t="s">
        <v>47</v>
      </c>
      <c r="I195" s="2"/>
      <c r="J195" s="2"/>
    </row>
    <row r="196" spans="1:10" x14ac:dyDescent="0.3">
      <c r="A196" s="1">
        <v>195</v>
      </c>
      <c r="B196" s="7">
        <v>4955705</v>
      </c>
      <c r="C196" s="9" t="s">
        <v>1315</v>
      </c>
      <c r="D196" s="2" t="s">
        <v>1225</v>
      </c>
      <c r="E196" s="9" t="s">
        <v>1239</v>
      </c>
      <c r="F196" s="2"/>
      <c r="G196" s="1" t="s">
        <v>40</v>
      </c>
      <c r="H196" s="1" t="s">
        <v>47</v>
      </c>
      <c r="I196" s="2"/>
      <c r="J196" s="2"/>
    </row>
    <row r="197" spans="1:10" x14ac:dyDescent="0.3">
      <c r="A197" s="1">
        <v>196</v>
      </c>
      <c r="B197" s="7">
        <v>4972853</v>
      </c>
      <c r="C197" s="9" t="s">
        <v>1315</v>
      </c>
      <c r="D197" s="2" t="s">
        <v>1225</v>
      </c>
      <c r="E197" s="9" t="s">
        <v>1240</v>
      </c>
      <c r="F197" s="2"/>
      <c r="G197" s="1" t="s">
        <v>21</v>
      </c>
      <c r="H197" s="1" t="s">
        <v>22</v>
      </c>
      <c r="I197" s="2"/>
      <c r="J197" s="2"/>
    </row>
    <row r="198" spans="1:10" x14ac:dyDescent="0.3">
      <c r="A198" s="1">
        <v>197</v>
      </c>
      <c r="B198" s="7">
        <v>8980917950</v>
      </c>
      <c r="C198" s="9" t="s">
        <v>1315</v>
      </c>
      <c r="D198" s="2" t="s">
        <v>1225</v>
      </c>
      <c r="E198" s="9" t="s">
        <v>961</v>
      </c>
      <c r="F198" s="2"/>
      <c r="G198" s="1" t="s">
        <v>40</v>
      </c>
      <c r="H198" s="1" t="s">
        <v>27</v>
      </c>
      <c r="I198" s="2"/>
      <c r="J198" s="2"/>
    </row>
    <row r="199" spans="1:10" x14ac:dyDescent="0.3">
      <c r="A199" s="1">
        <v>198</v>
      </c>
      <c r="B199" s="7">
        <v>8980556590</v>
      </c>
      <c r="C199" s="9" t="s">
        <v>1315</v>
      </c>
      <c r="D199" s="2" t="s">
        <v>1225</v>
      </c>
      <c r="E199" s="9" t="s">
        <v>39</v>
      </c>
      <c r="F199" s="2"/>
      <c r="G199" s="1" t="s">
        <v>40</v>
      </c>
      <c r="H199" s="1" t="s">
        <v>27</v>
      </c>
      <c r="I199" s="2"/>
      <c r="J199" s="2"/>
    </row>
    <row r="200" spans="1:10" x14ac:dyDescent="0.3">
      <c r="A200" s="1">
        <v>199</v>
      </c>
      <c r="B200" s="7" t="s">
        <v>42</v>
      </c>
      <c r="C200" s="9" t="s">
        <v>1315</v>
      </c>
      <c r="D200" s="2" t="s">
        <v>1225</v>
      </c>
      <c r="E200" s="9" t="s">
        <v>43</v>
      </c>
      <c r="F200" s="2"/>
      <c r="G200" s="1" t="s">
        <v>44</v>
      </c>
      <c r="H200" s="1" t="s">
        <v>22</v>
      </c>
      <c r="I200" s="2"/>
      <c r="J200" s="2"/>
    </row>
    <row r="201" spans="1:10" x14ac:dyDescent="0.3">
      <c r="A201" s="1">
        <v>200</v>
      </c>
      <c r="B201" s="7">
        <v>4616325</v>
      </c>
      <c r="C201" s="9" t="s">
        <v>1315</v>
      </c>
      <c r="D201" s="2" t="s">
        <v>1225</v>
      </c>
      <c r="E201" s="9" t="s">
        <v>1012</v>
      </c>
      <c r="F201" s="2"/>
      <c r="G201" s="1" t="s">
        <v>40</v>
      </c>
      <c r="H201" s="1" t="s">
        <v>55</v>
      </c>
      <c r="I201" s="2"/>
      <c r="J201" s="2"/>
    </row>
    <row r="202" spans="1:10" x14ac:dyDescent="0.3">
      <c r="A202" s="1">
        <v>201</v>
      </c>
      <c r="B202" s="7" t="s">
        <v>1241</v>
      </c>
      <c r="C202" s="9" t="s">
        <v>1315</v>
      </c>
      <c r="D202" s="2" t="s">
        <v>1225</v>
      </c>
      <c r="E202" s="9" t="s">
        <v>1242</v>
      </c>
      <c r="F202" s="2"/>
      <c r="G202" s="1" t="s">
        <v>58</v>
      </c>
      <c r="H202" s="1" t="s">
        <v>47</v>
      </c>
      <c r="I202" s="2"/>
      <c r="J202" s="2"/>
    </row>
    <row r="203" spans="1:10" x14ac:dyDescent="0.3">
      <c r="A203" s="1">
        <v>202</v>
      </c>
      <c r="B203" s="7">
        <v>8971064360</v>
      </c>
      <c r="C203" s="9" t="s">
        <v>1315</v>
      </c>
      <c r="D203" s="2" t="s">
        <v>1225</v>
      </c>
      <c r="E203" s="9" t="s">
        <v>37</v>
      </c>
      <c r="F203" s="2"/>
      <c r="G203" s="1" t="s">
        <v>959</v>
      </c>
      <c r="H203" s="1" t="s">
        <v>38</v>
      </c>
      <c r="I203" s="2"/>
      <c r="J203" s="2"/>
    </row>
    <row r="204" spans="1:10" x14ac:dyDescent="0.3">
      <c r="A204" s="1">
        <v>203</v>
      </c>
      <c r="B204" s="7">
        <v>74061012010</v>
      </c>
      <c r="C204" s="9" t="s">
        <v>1310</v>
      </c>
      <c r="D204" s="2">
        <v>6520</v>
      </c>
      <c r="E204" s="11" t="s">
        <v>62</v>
      </c>
      <c r="F204" s="2">
        <v>1</v>
      </c>
      <c r="G204" s="9" t="s">
        <v>63</v>
      </c>
      <c r="H204" s="9" t="s">
        <v>64</v>
      </c>
      <c r="I204" s="2"/>
      <c r="J204" s="2"/>
    </row>
    <row r="205" spans="1:10" x14ac:dyDescent="0.3">
      <c r="A205" s="1">
        <v>204</v>
      </c>
      <c r="B205" s="7">
        <v>74051017040</v>
      </c>
      <c r="C205" s="9" t="s">
        <v>1310</v>
      </c>
      <c r="D205" s="2">
        <v>6520</v>
      </c>
      <c r="E205" s="11" t="s">
        <v>65</v>
      </c>
      <c r="F205" s="2">
        <v>1</v>
      </c>
      <c r="G205" s="9" t="s">
        <v>63</v>
      </c>
      <c r="H205" s="9" t="s">
        <v>66</v>
      </c>
      <c r="I205" s="2"/>
      <c r="J205" s="2"/>
    </row>
    <row r="206" spans="1:10" x14ac:dyDescent="0.3">
      <c r="A206" s="1">
        <v>205</v>
      </c>
      <c r="B206" s="7" t="s">
        <v>67</v>
      </c>
      <c r="C206" s="9" t="s">
        <v>1310</v>
      </c>
      <c r="D206" s="2">
        <v>6520</v>
      </c>
      <c r="E206" s="11" t="s">
        <v>68</v>
      </c>
      <c r="F206" s="2">
        <v>2</v>
      </c>
      <c r="G206" s="9" t="s">
        <v>69</v>
      </c>
      <c r="H206" s="9" t="s">
        <v>70</v>
      </c>
      <c r="I206" s="2"/>
      <c r="J206" s="2"/>
    </row>
    <row r="207" spans="1:10" x14ac:dyDescent="0.3">
      <c r="A207" s="1">
        <v>206</v>
      </c>
      <c r="B207" s="7" t="s">
        <v>71</v>
      </c>
      <c r="C207" s="9" t="s">
        <v>1310</v>
      </c>
      <c r="D207" s="2">
        <v>6520</v>
      </c>
      <c r="E207" s="11" t="s">
        <v>72</v>
      </c>
      <c r="F207" s="2">
        <v>2</v>
      </c>
      <c r="G207" s="9" t="s">
        <v>69</v>
      </c>
      <c r="H207" s="9" t="s">
        <v>73</v>
      </c>
      <c r="I207" s="2"/>
      <c r="J207" s="2"/>
    </row>
    <row r="208" spans="1:10" x14ac:dyDescent="0.3">
      <c r="A208" s="1">
        <v>207</v>
      </c>
      <c r="B208" s="7">
        <v>160603020013</v>
      </c>
      <c r="C208" s="9" t="s">
        <v>1310</v>
      </c>
      <c r="D208" s="2">
        <v>6520</v>
      </c>
      <c r="E208" s="11" t="s">
        <v>74</v>
      </c>
      <c r="F208" s="2">
        <v>1</v>
      </c>
      <c r="G208" s="9" t="s">
        <v>69</v>
      </c>
      <c r="H208" s="9" t="s">
        <v>75</v>
      </c>
      <c r="I208" s="2">
        <f>VLOOKUP(B208,'[1]FM MIX OSCAR'!$A:$I,8,0)</f>
        <v>267732</v>
      </c>
      <c r="J208" s="2">
        <f>VLOOKUP(B208,'[1]FM MIX OSCAR'!$A:$I,9,0)</f>
        <v>2129</v>
      </c>
    </row>
    <row r="209" spans="1:10" x14ac:dyDescent="0.3">
      <c r="A209" s="1">
        <v>208</v>
      </c>
      <c r="B209" s="7" t="s">
        <v>76</v>
      </c>
      <c r="C209" s="9" t="s">
        <v>1310</v>
      </c>
      <c r="D209" s="2">
        <v>6520</v>
      </c>
      <c r="E209" s="11" t="s">
        <v>77</v>
      </c>
      <c r="F209" s="2">
        <v>1</v>
      </c>
      <c r="G209" s="9" t="s">
        <v>63</v>
      </c>
      <c r="H209" s="9" t="s">
        <v>78</v>
      </c>
      <c r="I209" s="2"/>
      <c r="J209" s="2"/>
    </row>
    <row r="210" spans="1:10" x14ac:dyDescent="0.3">
      <c r="A210" s="1">
        <v>209</v>
      </c>
      <c r="B210" s="7" t="s">
        <v>79</v>
      </c>
      <c r="C210" s="9" t="s">
        <v>1310</v>
      </c>
      <c r="D210" s="2">
        <v>6520</v>
      </c>
      <c r="E210" s="11" t="s">
        <v>80</v>
      </c>
      <c r="F210" s="2">
        <v>1</v>
      </c>
      <c r="G210" s="9" t="s">
        <v>69</v>
      </c>
      <c r="H210" s="9" t="s">
        <v>81</v>
      </c>
      <c r="I210" s="2"/>
      <c r="J210" s="2"/>
    </row>
    <row r="211" spans="1:10" x14ac:dyDescent="0.3">
      <c r="A211" s="1">
        <v>210</v>
      </c>
      <c r="B211" s="7" t="s">
        <v>82</v>
      </c>
      <c r="C211" s="9" t="s">
        <v>1310</v>
      </c>
      <c r="D211" s="2">
        <v>6520</v>
      </c>
      <c r="E211" s="11" t="s">
        <v>83</v>
      </c>
      <c r="F211" s="2">
        <v>1</v>
      </c>
      <c r="G211" s="9" t="s">
        <v>84</v>
      </c>
      <c r="H211" s="9" t="s">
        <v>85</v>
      </c>
      <c r="I211" s="2"/>
      <c r="J211" s="2"/>
    </row>
    <row r="212" spans="1:10" x14ac:dyDescent="0.3">
      <c r="A212" s="1">
        <v>211</v>
      </c>
      <c r="B212" s="7">
        <v>60339523</v>
      </c>
      <c r="C212" s="9" t="s">
        <v>1310</v>
      </c>
      <c r="D212" s="2">
        <v>6520</v>
      </c>
      <c r="E212" s="11" t="s">
        <v>86</v>
      </c>
      <c r="F212" s="2">
        <v>1</v>
      </c>
      <c r="G212" s="9" t="s">
        <v>84</v>
      </c>
      <c r="H212" s="9" t="s">
        <v>87</v>
      </c>
      <c r="I212" s="2">
        <f>VLOOKUP(B212,'[1]FM MIX OSCAR'!$A:$I,8,0)</f>
        <v>352980</v>
      </c>
      <c r="J212" s="2">
        <f>VLOOKUP(B212,'[1]FM MIX OSCAR'!$A:$I,9,0)</f>
        <v>19</v>
      </c>
    </row>
    <row r="213" spans="1:10" x14ac:dyDescent="0.3">
      <c r="A213" s="1">
        <v>212</v>
      </c>
      <c r="B213" s="7" t="s">
        <v>88</v>
      </c>
      <c r="C213" s="9" t="s">
        <v>1310</v>
      </c>
      <c r="D213" s="2">
        <v>6520</v>
      </c>
      <c r="E213" s="11" t="s">
        <v>89</v>
      </c>
      <c r="F213" s="2">
        <v>1</v>
      </c>
      <c r="G213" s="9" t="s">
        <v>90</v>
      </c>
      <c r="H213" s="9" t="s">
        <v>91</v>
      </c>
      <c r="I213" s="2"/>
      <c r="J213" s="2"/>
    </row>
    <row r="214" spans="1:10" x14ac:dyDescent="0.3">
      <c r="A214" s="1">
        <v>213</v>
      </c>
      <c r="B214" s="7" t="s">
        <v>92</v>
      </c>
      <c r="C214" s="9" t="s">
        <v>1310</v>
      </c>
      <c r="D214" s="2">
        <v>6520</v>
      </c>
      <c r="E214" s="11" t="s">
        <v>93</v>
      </c>
      <c r="F214" s="2">
        <v>1</v>
      </c>
      <c r="G214" s="9" t="s">
        <v>90</v>
      </c>
      <c r="H214" s="9" t="s">
        <v>94</v>
      </c>
      <c r="I214" s="2"/>
      <c r="J214" s="2"/>
    </row>
    <row r="215" spans="1:10" x14ac:dyDescent="0.3">
      <c r="A215" s="1">
        <v>214</v>
      </c>
      <c r="B215" s="7" t="s">
        <v>95</v>
      </c>
      <c r="C215" s="9" t="s">
        <v>1310</v>
      </c>
      <c r="D215" s="2">
        <v>6520</v>
      </c>
      <c r="E215" s="11" t="s">
        <v>96</v>
      </c>
      <c r="F215" s="2">
        <v>1</v>
      </c>
      <c r="G215" s="9" t="s">
        <v>90</v>
      </c>
      <c r="H215" s="9" t="s">
        <v>97</v>
      </c>
      <c r="I215" s="2"/>
      <c r="J215" s="2"/>
    </row>
    <row r="216" spans="1:10" x14ac:dyDescent="0.3">
      <c r="A216" s="1">
        <v>215</v>
      </c>
      <c r="B216" s="7" t="s">
        <v>98</v>
      </c>
      <c r="C216" s="9" t="s">
        <v>1310</v>
      </c>
      <c r="D216" s="2">
        <v>6520</v>
      </c>
      <c r="E216" s="11" t="s">
        <v>99</v>
      </c>
      <c r="F216" s="2">
        <v>1</v>
      </c>
      <c r="G216" s="9" t="s">
        <v>90</v>
      </c>
      <c r="H216" s="9" t="s">
        <v>100</v>
      </c>
      <c r="I216" s="2"/>
      <c r="J216" s="2"/>
    </row>
    <row r="217" spans="1:10" x14ac:dyDescent="0.3">
      <c r="A217" s="1">
        <v>216</v>
      </c>
      <c r="B217" s="7" t="s">
        <v>101</v>
      </c>
      <c r="C217" s="9" t="s">
        <v>1310</v>
      </c>
      <c r="D217" s="2">
        <v>6520</v>
      </c>
      <c r="E217" s="11" t="s">
        <v>102</v>
      </c>
      <c r="F217" s="2">
        <v>1</v>
      </c>
      <c r="G217" s="9" t="s">
        <v>84</v>
      </c>
      <c r="H217" s="9" t="s">
        <v>103</v>
      </c>
      <c r="I217" s="2"/>
      <c r="J217" s="2"/>
    </row>
    <row r="218" spans="1:10" x14ac:dyDescent="0.3">
      <c r="A218" s="1">
        <v>217</v>
      </c>
      <c r="B218" s="7">
        <v>734820832191</v>
      </c>
      <c r="C218" s="9" t="s">
        <v>1310</v>
      </c>
      <c r="D218" s="2">
        <v>6520</v>
      </c>
      <c r="E218" s="11" t="s">
        <v>104</v>
      </c>
      <c r="F218" s="2">
        <v>1</v>
      </c>
      <c r="G218" s="9" t="s">
        <v>84</v>
      </c>
      <c r="H218" s="9" t="s">
        <v>105</v>
      </c>
      <c r="I218" s="2"/>
      <c r="J218" s="2"/>
    </row>
    <row r="219" spans="1:10" x14ac:dyDescent="0.3">
      <c r="A219" s="1">
        <v>218</v>
      </c>
      <c r="B219" s="7">
        <v>918780072091</v>
      </c>
      <c r="C219" s="9" t="s">
        <v>1310</v>
      </c>
      <c r="D219" s="2">
        <v>6520</v>
      </c>
      <c r="E219" s="11" t="s">
        <v>106</v>
      </c>
      <c r="F219" s="2">
        <v>1</v>
      </c>
      <c r="G219" s="9" t="s">
        <v>84</v>
      </c>
      <c r="H219" s="9" t="s">
        <v>107</v>
      </c>
      <c r="I219" s="2"/>
      <c r="J219" s="2"/>
    </row>
    <row r="220" spans="1:10" x14ac:dyDescent="0.3">
      <c r="A220" s="1">
        <v>219</v>
      </c>
      <c r="B220" s="7">
        <v>3431510010511</v>
      </c>
      <c r="C220" s="9" t="s">
        <v>1310</v>
      </c>
      <c r="D220" s="2">
        <v>6520</v>
      </c>
      <c r="E220" s="11" t="s">
        <v>108</v>
      </c>
      <c r="F220" s="2">
        <v>1</v>
      </c>
      <c r="G220" s="9" t="s">
        <v>69</v>
      </c>
      <c r="H220" s="9" t="s">
        <v>109</v>
      </c>
      <c r="I220" s="2"/>
      <c r="J220" s="2"/>
    </row>
    <row r="221" spans="1:10" x14ac:dyDescent="0.3">
      <c r="A221" s="1">
        <v>220</v>
      </c>
      <c r="B221" s="7" t="s">
        <v>110</v>
      </c>
      <c r="C221" s="9" t="s">
        <v>1310</v>
      </c>
      <c r="D221" s="2">
        <v>6520</v>
      </c>
      <c r="E221" s="11" t="s">
        <v>111</v>
      </c>
      <c r="F221" s="2">
        <v>1</v>
      </c>
      <c r="G221" s="9" t="s">
        <v>90</v>
      </c>
      <c r="H221" s="9" t="s">
        <v>112</v>
      </c>
      <c r="I221" s="2"/>
      <c r="J221" s="2"/>
    </row>
    <row r="222" spans="1:10" x14ac:dyDescent="0.3">
      <c r="A222" s="1">
        <v>221</v>
      </c>
      <c r="B222" s="7" t="s">
        <v>113</v>
      </c>
      <c r="C222" s="9" t="s">
        <v>1310</v>
      </c>
      <c r="D222" s="2">
        <v>6520</v>
      </c>
      <c r="E222" s="11" t="s">
        <v>114</v>
      </c>
      <c r="F222" s="2">
        <v>2</v>
      </c>
      <c r="G222" s="9" t="s">
        <v>69</v>
      </c>
      <c r="H222" s="9" t="s">
        <v>115</v>
      </c>
      <c r="I222" s="2"/>
      <c r="J222" s="2"/>
    </row>
    <row r="223" spans="1:10" x14ac:dyDescent="0.3">
      <c r="A223" s="1">
        <v>222</v>
      </c>
      <c r="B223" s="7" t="s">
        <v>116</v>
      </c>
      <c r="C223" s="9" t="s">
        <v>1310</v>
      </c>
      <c r="D223" s="2">
        <v>6520</v>
      </c>
      <c r="E223" s="11" t="s">
        <v>117</v>
      </c>
      <c r="F223" s="2">
        <v>1</v>
      </c>
      <c r="G223" s="9" t="s">
        <v>84</v>
      </c>
      <c r="H223" s="9" t="s">
        <v>118</v>
      </c>
      <c r="I223" s="2"/>
      <c r="J223" s="2"/>
    </row>
    <row r="224" spans="1:10" x14ac:dyDescent="0.3">
      <c r="A224" s="1">
        <v>223</v>
      </c>
      <c r="B224" s="7" t="s">
        <v>119</v>
      </c>
      <c r="C224" s="9" t="s">
        <v>1310</v>
      </c>
      <c r="D224" s="2">
        <v>6520</v>
      </c>
      <c r="E224" s="11" t="s">
        <v>120</v>
      </c>
      <c r="F224" s="2">
        <v>2</v>
      </c>
      <c r="G224" s="9" t="s">
        <v>90</v>
      </c>
      <c r="H224" s="9" t="s">
        <v>121</v>
      </c>
      <c r="I224" s="2"/>
      <c r="J224" s="2"/>
    </row>
    <row r="225" spans="1:10" x14ac:dyDescent="0.3">
      <c r="A225" s="1">
        <v>224</v>
      </c>
      <c r="B225" s="7" t="s">
        <v>122</v>
      </c>
      <c r="C225" s="9" t="s">
        <v>1310</v>
      </c>
      <c r="D225" s="2">
        <v>6520</v>
      </c>
      <c r="E225" s="11" t="s">
        <v>123</v>
      </c>
      <c r="F225" s="2">
        <v>4</v>
      </c>
      <c r="G225" s="9" t="s">
        <v>84</v>
      </c>
      <c r="H225" s="9" t="s">
        <v>124</v>
      </c>
      <c r="I225" s="2"/>
      <c r="J225" s="2"/>
    </row>
    <row r="226" spans="1:10" x14ac:dyDescent="0.3">
      <c r="A226" s="1">
        <v>225</v>
      </c>
      <c r="B226" s="7" t="s">
        <v>125</v>
      </c>
      <c r="C226" s="9" t="s">
        <v>1310</v>
      </c>
      <c r="D226" s="2">
        <v>6520</v>
      </c>
      <c r="E226" s="11" t="s">
        <v>126</v>
      </c>
      <c r="F226" s="2">
        <v>1</v>
      </c>
      <c r="G226" s="9" t="s">
        <v>90</v>
      </c>
      <c r="H226" s="9" t="s">
        <v>127</v>
      </c>
      <c r="I226" s="2"/>
      <c r="J226" s="2"/>
    </row>
    <row r="227" spans="1:10" x14ac:dyDescent="0.3">
      <c r="A227" s="1">
        <v>226</v>
      </c>
      <c r="B227" s="7" t="s">
        <v>128</v>
      </c>
      <c r="C227" s="9" t="s">
        <v>1310</v>
      </c>
      <c r="D227" s="2">
        <v>6520</v>
      </c>
      <c r="E227" s="11" t="s">
        <v>129</v>
      </c>
      <c r="F227" s="2">
        <v>1</v>
      </c>
      <c r="G227" s="9" t="s">
        <v>84</v>
      </c>
      <c r="H227" s="9" t="s">
        <v>130</v>
      </c>
      <c r="I227" s="2"/>
      <c r="J227" s="2"/>
    </row>
    <row r="228" spans="1:10" x14ac:dyDescent="0.3">
      <c r="A228" s="1">
        <v>227</v>
      </c>
      <c r="B228" s="7" t="s">
        <v>131</v>
      </c>
      <c r="C228" s="9" t="s">
        <v>1310</v>
      </c>
      <c r="D228" s="2">
        <v>6520</v>
      </c>
      <c r="E228" s="11" t="s">
        <v>132</v>
      </c>
      <c r="F228" s="2">
        <v>2</v>
      </c>
      <c r="G228" s="9" t="s">
        <v>90</v>
      </c>
      <c r="H228" s="9" t="s">
        <v>133</v>
      </c>
      <c r="I228" s="2"/>
      <c r="J228" s="2"/>
    </row>
    <row r="229" spans="1:10" x14ac:dyDescent="0.3">
      <c r="A229" s="1">
        <v>228</v>
      </c>
      <c r="B229" s="7" t="s">
        <v>134</v>
      </c>
      <c r="C229" s="9" t="s">
        <v>1310</v>
      </c>
      <c r="D229" s="2">
        <v>6520</v>
      </c>
      <c r="E229" s="11" t="s">
        <v>135</v>
      </c>
      <c r="F229" s="2">
        <v>4</v>
      </c>
      <c r="G229" s="9" t="s">
        <v>90</v>
      </c>
      <c r="H229" s="9" t="s">
        <v>136</v>
      </c>
      <c r="I229" s="2"/>
      <c r="J229" s="2"/>
    </row>
    <row r="230" spans="1:10" x14ac:dyDescent="0.3">
      <c r="A230" s="1">
        <v>229</v>
      </c>
      <c r="B230" s="7">
        <v>45104290500100</v>
      </c>
      <c r="C230" s="9" t="s">
        <v>1310</v>
      </c>
      <c r="D230" s="2">
        <v>6520</v>
      </c>
      <c r="E230" s="11" t="s">
        <v>137</v>
      </c>
      <c r="F230" s="2">
        <v>2</v>
      </c>
      <c r="G230" s="9" t="s">
        <v>90</v>
      </c>
      <c r="H230" s="9" t="s">
        <v>138</v>
      </c>
      <c r="I230" s="2"/>
      <c r="J230" s="2"/>
    </row>
    <row r="231" spans="1:10" x14ac:dyDescent="0.3">
      <c r="A231" s="1">
        <v>230</v>
      </c>
      <c r="B231" s="7" t="s">
        <v>139</v>
      </c>
      <c r="C231" s="9" t="s">
        <v>1310</v>
      </c>
      <c r="D231" s="2">
        <v>6520</v>
      </c>
      <c r="E231" s="11" t="s">
        <v>140</v>
      </c>
      <c r="F231" s="2">
        <v>6</v>
      </c>
      <c r="G231" s="9" t="s">
        <v>90</v>
      </c>
      <c r="H231" s="9" t="s">
        <v>141</v>
      </c>
      <c r="I231" s="2"/>
      <c r="J231" s="2"/>
    </row>
    <row r="232" spans="1:10" x14ac:dyDescent="0.3">
      <c r="A232" s="1">
        <v>231</v>
      </c>
      <c r="B232" s="7">
        <v>7401003439</v>
      </c>
      <c r="C232" s="9" t="s">
        <v>1310</v>
      </c>
      <c r="D232" s="2">
        <v>6520</v>
      </c>
      <c r="E232" s="11" t="s">
        <v>142</v>
      </c>
      <c r="F232" s="2">
        <v>4</v>
      </c>
      <c r="G232" s="9" t="s">
        <v>84</v>
      </c>
      <c r="H232" s="9" t="s">
        <v>143</v>
      </c>
      <c r="I232" s="2"/>
      <c r="J232" s="2"/>
    </row>
    <row r="233" spans="1:10" x14ac:dyDescent="0.3">
      <c r="A233" s="1">
        <v>232</v>
      </c>
      <c r="B233" s="7" t="s">
        <v>122</v>
      </c>
      <c r="C233" s="9" t="s">
        <v>1310</v>
      </c>
      <c r="D233" s="2">
        <v>6520</v>
      </c>
      <c r="E233" s="11" t="s">
        <v>123</v>
      </c>
      <c r="F233" s="2">
        <v>4</v>
      </c>
      <c r="G233" s="9" t="s">
        <v>84</v>
      </c>
      <c r="H233" s="9" t="s">
        <v>124</v>
      </c>
      <c r="I233" s="2"/>
      <c r="J233" s="2"/>
    </row>
    <row r="234" spans="1:10" x14ac:dyDescent="0.3">
      <c r="A234" s="1">
        <v>233</v>
      </c>
      <c r="B234" s="7" t="s">
        <v>144</v>
      </c>
      <c r="C234" s="9" t="s">
        <v>1310</v>
      </c>
      <c r="D234" s="2">
        <v>6520</v>
      </c>
      <c r="E234" s="11" t="s">
        <v>145</v>
      </c>
      <c r="F234" s="2">
        <v>1</v>
      </c>
      <c r="G234" s="9" t="s">
        <v>84</v>
      </c>
      <c r="H234" s="9" t="s">
        <v>146</v>
      </c>
      <c r="I234" s="2"/>
      <c r="J234" s="2"/>
    </row>
    <row r="235" spans="1:10" x14ac:dyDescent="0.3">
      <c r="A235" s="1">
        <v>234</v>
      </c>
      <c r="B235" s="7" t="s">
        <v>147</v>
      </c>
      <c r="C235" s="9" t="s">
        <v>1310</v>
      </c>
      <c r="D235" s="2">
        <v>6520</v>
      </c>
      <c r="E235" s="11" t="s">
        <v>142</v>
      </c>
      <c r="F235" s="2">
        <v>4</v>
      </c>
      <c r="G235" s="9" t="s">
        <v>84</v>
      </c>
      <c r="H235" s="9" t="s">
        <v>148</v>
      </c>
      <c r="I235" s="2"/>
      <c r="J235" s="2"/>
    </row>
    <row r="236" spans="1:10" x14ac:dyDescent="0.3">
      <c r="A236" s="1">
        <v>235</v>
      </c>
      <c r="B236" s="7" t="s">
        <v>149</v>
      </c>
      <c r="C236" s="9" t="s">
        <v>1310</v>
      </c>
      <c r="D236" s="2">
        <v>6520</v>
      </c>
      <c r="E236" s="11" t="s">
        <v>150</v>
      </c>
      <c r="F236" s="2">
        <v>2</v>
      </c>
      <c r="G236" s="9" t="s">
        <v>151</v>
      </c>
      <c r="H236" s="9" t="s">
        <v>152</v>
      </c>
      <c r="I236" s="2"/>
      <c r="J236" s="2"/>
    </row>
    <row r="237" spans="1:10" x14ac:dyDescent="0.3">
      <c r="A237" s="1">
        <v>236</v>
      </c>
      <c r="B237" s="7" t="s">
        <v>153</v>
      </c>
      <c r="C237" s="9" t="s">
        <v>1310</v>
      </c>
      <c r="D237" s="2">
        <v>6520</v>
      </c>
      <c r="E237" s="11" t="s">
        <v>154</v>
      </c>
      <c r="F237" s="2">
        <v>1</v>
      </c>
      <c r="G237" s="9" t="s">
        <v>90</v>
      </c>
      <c r="H237" s="9" t="s">
        <v>155</v>
      </c>
      <c r="I237" s="2"/>
      <c r="J237" s="2"/>
    </row>
    <row r="238" spans="1:10" x14ac:dyDescent="0.3">
      <c r="A238" s="1">
        <v>237</v>
      </c>
      <c r="B238" s="7" t="s">
        <v>156</v>
      </c>
      <c r="C238" s="9" t="s">
        <v>1310</v>
      </c>
      <c r="D238" s="2">
        <v>6520</v>
      </c>
      <c r="E238" s="11" t="s">
        <v>157</v>
      </c>
      <c r="F238" s="2">
        <v>1</v>
      </c>
      <c r="G238" s="9" t="s">
        <v>90</v>
      </c>
      <c r="H238" s="9" t="s">
        <v>158</v>
      </c>
      <c r="I238" s="2"/>
      <c r="J238" s="2"/>
    </row>
    <row r="239" spans="1:10" x14ac:dyDescent="0.3">
      <c r="A239" s="1">
        <v>238</v>
      </c>
      <c r="B239" s="7" t="s">
        <v>159</v>
      </c>
      <c r="C239" s="9" t="s">
        <v>1310</v>
      </c>
      <c r="D239" s="2">
        <v>6520</v>
      </c>
      <c r="E239" s="11" t="s">
        <v>160</v>
      </c>
      <c r="F239" s="2">
        <v>1</v>
      </c>
      <c r="G239" s="9" t="s">
        <v>90</v>
      </c>
      <c r="H239" s="9" t="s">
        <v>161</v>
      </c>
      <c r="I239" s="2"/>
      <c r="J239" s="2"/>
    </row>
    <row r="240" spans="1:10" x14ac:dyDescent="0.3">
      <c r="A240" s="1">
        <v>239</v>
      </c>
      <c r="B240" s="7" t="s">
        <v>162</v>
      </c>
      <c r="C240" s="9" t="s">
        <v>1310</v>
      </c>
      <c r="D240" s="2">
        <v>6520</v>
      </c>
      <c r="E240" s="11" t="s">
        <v>163</v>
      </c>
      <c r="F240" s="2">
        <v>1</v>
      </c>
      <c r="G240" s="9" t="s">
        <v>90</v>
      </c>
      <c r="H240" s="9" t="s">
        <v>164</v>
      </c>
      <c r="I240" s="2"/>
      <c r="J240" s="2"/>
    </row>
    <row r="241" spans="1:10" x14ac:dyDescent="0.3">
      <c r="A241" s="1">
        <v>240</v>
      </c>
      <c r="B241" s="7" t="s">
        <v>0</v>
      </c>
      <c r="C241" s="9" t="s">
        <v>1314</v>
      </c>
      <c r="D241" s="2" t="s">
        <v>2</v>
      </c>
      <c r="E241" s="9" t="s">
        <v>1</v>
      </c>
      <c r="F241" s="2"/>
      <c r="G241" s="9" t="s">
        <v>3</v>
      </c>
      <c r="H241" s="9" t="s">
        <v>4</v>
      </c>
      <c r="I241" s="2"/>
      <c r="J241" s="2"/>
    </row>
    <row r="242" spans="1:10" x14ac:dyDescent="0.3">
      <c r="A242" s="1">
        <v>241</v>
      </c>
      <c r="B242" s="7" t="s">
        <v>5</v>
      </c>
      <c r="C242" s="9" t="s">
        <v>1314</v>
      </c>
      <c r="D242" s="2" t="s">
        <v>2</v>
      </c>
      <c r="E242" s="9" t="s">
        <v>6</v>
      </c>
      <c r="F242" s="2"/>
      <c r="G242" s="9" t="s">
        <v>3</v>
      </c>
      <c r="H242" s="9" t="s">
        <v>4</v>
      </c>
      <c r="I242" s="2"/>
      <c r="J242" s="2"/>
    </row>
    <row r="243" spans="1:10" x14ac:dyDescent="0.3">
      <c r="A243" s="1">
        <v>242</v>
      </c>
      <c r="B243" s="7" t="s">
        <v>7</v>
      </c>
      <c r="C243" s="9" t="s">
        <v>1314</v>
      </c>
      <c r="D243" s="2" t="s">
        <v>2</v>
      </c>
      <c r="E243" s="9" t="s">
        <v>8</v>
      </c>
      <c r="F243" s="2"/>
      <c r="G243" s="9" t="s">
        <v>956</v>
      </c>
      <c r="H243" s="9" t="s">
        <v>10</v>
      </c>
      <c r="I243" s="2"/>
      <c r="J243" s="2"/>
    </row>
    <row r="244" spans="1:10" x14ac:dyDescent="0.3">
      <c r="A244" s="1">
        <v>243</v>
      </c>
      <c r="B244" s="7" t="s">
        <v>11</v>
      </c>
      <c r="C244" s="9" t="s">
        <v>1314</v>
      </c>
      <c r="D244" s="2" t="s">
        <v>2</v>
      </c>
      <c r="E244" s="9" t="s">
        <v>12</v>
      </c>
      <c r="F244" s="2"/>
      <c r="G244" s="9" t="s">
        <v>13</v>
      </c>
      <c r="H244" s="9" t="s">
        <v>14</v>
      </c>
      <c r="I244" s="2"/>
      <c r="J244" s="2"/>
    </row>
    <row r="245" spans="1:10" x14ac:dyDescent="0.3">
      <c r="A245" s="1">
        <v>244</v>
      </c>
      <c r="B245" s="7" t="s">
        <v>15</v>
      </c>
      <c r="C245" s="9" t="s">
        <v>1314</v>
      </c>
      <c r="D245" s="2" t="s">
        <v>2</v>
      </c>
      <c r="E245" s="9" t="s">
        <v>16</v>
      </c>
      <c r="F245" s="2"/>
      <c r="G245" s="9" t="s">
        <v>957</v>
      </c>
      <c r="H245" s="9" t="s">
        <v>18</v>
      </c>
      <c r="I245" s="2"/>
      <c r="J245" s="2"/>
    </row>
    <row r="246" spans="1:10" x14ac:dyDescent="0.3">
      <c r="A246" s="1">
        <v>245</v>
      </c>
      <c r="B246" s="7" t="s">
        <v>19</v>
      </c>
      <c r="C246" s="9" t="s">
        <v>1314</v>
      </c>
      <c r="D246" s="2" t="s">
        <v>2</v>
      </c>
      <c r="E246" s="9" t="s">
        <v>20</v>
      </c>
      <c r="F246" s="2"/>
      <c r="G246" s="9" t="s">
        <v>21</v>
      </c>
      <c r="H246" s="9" t="s">
        <v>22</v>
      </c>
      <c r="I246" s="2"/>
      <c r="J246" s="2"/>
    </row>
    <row r="247" spans="1:10" x14ac:dyDescent="0.3">
      <c r="A247" s="1">
        <v>246</v>
      </c>
      <c r="B247" s="7" t="s">
        <v>1250</v>
      </c>
      <c r="C247" s="9" t="s">
        <v>1314</v>
      </c>
      <c r="D247" s="2" t="s">
        <v>2</v>
      </c>
      <c r="E247" s="9" t="s">
        <v>29</v>
      </c>
      <c r="F247" s="2"/>
      <c r="G247" s="9" t="s">
        <v>9</v>
      </c>
      <c r="H247" s="9" t="s">
        <v>30</v>
      </c>
      <c r="I247" s="2"/>
      <c r="J247" s="2"/>
    </row>
    <row r="248" spans="1:10" x14ac:dyDescent="0.3">
      <c r="A248" s="1">
        <v>247</v>
      </c>
      <c r="B248" s="7" t="s">
        <v>24</v>
      </c>
      <c r="C248" s="9" t="s">
        <v>1314</v>
      </c>
      <c r="D248" s="2" t="s">
        <v>2</v>
      </c>
      <c r="E248" s="9" t="s">
        <v>25</v>
      </c>
      <c r="F248" s="2"/>
      <c r="G248" s="9" t="s">
        <v>26</v>
      </c>
      <c r="H248" s="9" t="s">
        <v>27</v>
      </c>
      <c r="I248" s="2"/>
      <c r="J248" s="2"/>
    </row>
    <row r="249" spans="1:10" x14ac:dyDescent="0.3">
      <c r="A249" s="1">
        <v>248</v>
      </c>
      <c r="B249" s="7" t="s">
        <v>1049</v>
      </c>
      <c r="C249" s="9" t="s">
        <v>1314</v>
      </c>
      <c r="D249" s="2" t="s">
        <v>2</v>
      </c>
      <c r="E249" s="9" t="s">
        <v>1050</v>
      </c>
      <c r="F249" s="2"/>
      <c r="G249" s="9" t="s">
        <v>26</v>
      </c>
      <c r="H249" s="9" t="s">
        <v>57</v>
      </c>
      <c r="I249" s="2"/>
      <c r="J249" s="2"/>
    </row>
    <row r="250" spans="1:10" x14ac:dyDescent="0.3">
      <c r="A250" s="1">
        <v>249</v>
      </c>
      <c r="B250" s="7" t="s">
        <v>1051</v>
      </c>
      <c r="C250" s="9" t="s">
        <v>1314</v>
      </c>
      <c r="D250" s="2" t="s">
        <v>2</v>
      </c>
      <c r="E250" s="9" t="s">
        <v>1052</v>
      </c>
      <c r="F250" s="2"/>
      <c r="G250" s="9" t="s">
        <v>40</v>
      </c>
      <c r="H250" s="9" t="s">
        <v>1053</v>
      </c>
      <c r="I250" s="2"/>
      <c r="J250" s="2"/>
    </row>
    <row r="251" spans="1:10" x14ac:dyDescent="0.3">
      <c r="A251" s="1">
        <v>250</v>
      </c>
      <c r="B251" s="7" t="s">
        <v>1054</v>
      </c>
      <c r="C251" s="9" t="s">
        <v>1314</v>
      </c>
      <c r="D251" s="2" t="s">
        <v>2</v>
      </c>
      <c r="E251" s="9" t="s">
        <v>1055</v>
      </c>
      <c r="F251" s="2"/>
      <c r="G251" s="9" t="s">
        <v>40</v>
      </c>
      <c r="H251" s="9" t="s">
        <v>47</v>
      </c>
      <c r="I251" s="2"/>
      <c r="J251" s="2"/>
    </row>
    <row r="252" spans="1:10" x14ac:dyDescent="0.3">
      <c r="A252" s="1">
        <v>251</v>
      </c>
      <c r="B252" s="7" t="s">
        <v>1056</v>
      </c>
      <c r="C252" s="9" t="s">
        <v>1314</v>
      </c>
      <c r="D252" s="2" t="s">
        <v>2</v>
      </c>
      <c r="E252" s="9" t="s">
        <v>35</v>
      </c>
      <c r="F252" s="2"/>
      <c r="G252" s="9" t="s">
        <v>9</v>
      </c>
      <c r="H252" s="9" t="s">
        <v>30</v>
      </c>
      <c r="I252" s="2"/>
      <c r="J252" s="2"/>
    </row>
    <row r="253" spans="1:10" x14ac:dyDescent="0.3">
      <c r="A253" s="1">
        <v>252</v>
      </c>
      <c r="B253" s="7" t="s">
        <v>1057</v>
      </c>
      <c r="C253" s="9" t="s">
        <v>1314</v>
      </c>
      <c r="D253" s="2" t="s">
        <v>2</v>
      </c>
      <c r="E253" s="9" t="s">
        <v>54</v>
      </c>
      <c r="F253" s="2"/>
      <c r="G253" s="9" t="s">
        <v>40</v>
      </c>
      <c r="H253" s="9" t="s">
        <v>47</v>
      </c>
      <c r="I253" s="2"/>
      <c r="J253" s="2"/>
    </row>
    <row r="254" spans="1:10" x14ac:dyDescent="0.3">
      <c r="A254" s="1">
        <v>253</v>
      </c>
      <c r="B254" s="7" t="s">
        <v>1058</v>
      </c>
      <c r="C254" s="9" t="s">
        <v>1314</v>
      </c>
      <c r="D254" s="2" t="s">
        <v>2</v>
      </c>
      <c r="E254" s="9" t="s">
        <v>1059</v>
      </c>
      <c r="F254" s="2"/>
      <c r="G254" s="9" t="s">
        <v>40</v>
      </c>
      <c r="H254" s="9" t="s">
        <v>1013</v>
      </c>
      <c r="I254" s="2"/>
      <c r="J254" s="2"/>
    </row>
    <row r="255" spans="1:10" x14ac:dyDescent="0.3">
      <c r="A255" s="1">
        <v>254</v>
      </c>
      <c r="B255" s="7" t="s">
        <v>1060</v>
      </c>
      <c r="C255" s="9" t="s">
        <v>1314</v>
      </c>
      <c r="D255" s="2" t="s">
        <v>2</v>
      </c>
      <c r="E255" s="9" t="s">
        <v>51</v>
      </c>
      <c r="F255" s="2"/>
      <c r="G255" s="9" t="s">
        <v>49</v>
      </c>
      <c r="H255" s="9" t="s">
        <v>27</v>
      </c>
      <c r="I255" s="2"/>
      <c r="J255" s="2"/>
    </row>
    <row r="256" spans="1:10" x14ac:dyDescent="0.3">
      <c r="A256" s="1">
        <v>255</v>
      </c>
      <c r="B256" s="7" t="s">
        <v>1061</v>
      </c>
      <c r="C256" s="9" t="s">
        <v>1314</v>
      </c>
      <c r="D256" s="2" t="s">
        <v>2</v>
      </c>
      <c r="E256" s="9" t="s">
        <v>1062</v>
      </c>
      <c r="F256" s="2"/>
      <c r="G256" s="9" t="s">
        <v>40</v>
      </c>
      <c r="H256" s="9" t="s">
        <v>1013</v>
      </c>
      <c r="I256" s="2"/>
      <c r="J256" s="2"/>
    </row>
    <row r="257" spans="1:10" x14ac:dyDescent="0.3">
      <c r="A257" s="1">
        <v>256</v>
      </c>
      <c r="B257" s="7" t="s">
        <v>1063</v>
      </c>
      <c r="C257" s="9" t="s">
        <v>1314</v>
      </c>
      <c r="D257" s="2" t="s">
        <v>2</v>
      </c>
      <c r="E257" s="9" t="s">
        <v>1064</v>
      </c>
      <c r="F257" s="2"/>
      <c r="G257" s="9" t="s">
        <v>49</v>
      </c>
      <c r="H257" s="9" t="s">
        <v>27</v>
      </c>
      <c r="I257" s="2"/>
      <c r="J257" s="2"/>
    </row>
    <row r="258" spans="1:10" x14ac:dyDescent="0.3">
      <c r="A258" s="1">
        <v>257</v>
      </c>
      <c r="B258" s="7" t="s">
        <v>1065</v>
      </c>
      <c r="C258" s="9" t="s">
        <v>1314</v>
      </c>
      <c r="D258" s="2" t="s">
        <v>2</v>
      </c>
      <c r="E258" s="9" t="s">
        <v>961</v>
      </c>
      <c r="F258" s="2"/>
      <c r="G258" s="9" t="s">
        <v>40</v>
      </c>
      <c r="H258" s="9" t="s">
        <v>27</v>
      </c>
      <c r="I258" s="2"/>
      <c r="J258" s="2"/>
    </row>
    <row r="259" spans="1:10" x14ac:dyDescent="0.3">
      <c r="A259" s="1">
        <v>258</v>
      </c>
      <c r="B259" s="7" t="s">
        <v>1045</v>
      </c>
      <c r="C259" s="9" t="s">
        <v>1314</v>
      </c>
      <c r="D259" s="2" t="s">
        <v>2</v>
      </c>
      <c r="E259" s="9" t="s">
        <v>39</v>
      </c>
      <c r="F259" s="2"/>
      <c r="G259" s="9" t="s">
        <v>40</v>
      </c>
      <c r="H259" s="9" t="s">
        <v>27</v>
      </c>
      <c r="I259" s="2"/>
      <c r="J259" s="2"/>
    </row>
    <row r="260" spans="1:10" x14ac:dyDescent="0.3">
      <c r="A260" s="1">
        <v>259</v>
      </c>
      <c r="B260" s="7" t="s">
        <v>1066</v>
      </c>
      <c r="C260" s="9" t="s">
        <v>1314</v>
      </c>
      <c r="D260" s="2" t="s">
        <v>2</v>
      </c>
      <c r="E260" s="9" t="s">
        <v>53</v>
      </c>
      <c r="F260" s="2"/>
      <c r="G260" s="9" t="s">
        <v>40</v>
      </c>
      <c r="H260" s="9" t="s">
        <v>47</v>
      </c>
      <c r="I260" s="2"/>
      <c r="J260" s="2"/>
    </row>
    <row r="261" spans="1:10" x14ac:dyDescent="0.3">
      <c r="A261" s="1">
        <v>260</v>
      </c>
      <c r="B261" s="7" t="s">
        <v>1040</v>
      </c>
      <c r="C261" s="9" t="s">
        <v>1314</v>
      </c>
      <c r="D261" s="2" t="s">
        <v>2</v>
      </c>
      <c r="E261" s="9" t="s">
        <v>23</v>
      </c>
      <c r="F261" s="2"/>
      <c r="G261" s="9" t="s">
        <v>3</v>
      </c>
      <c r="H261" s="9" t="s">
        <v>4</v>
      </c>
      <c r="I261" s="2"/>
      <c r="J261" s="2"/>
    </row>
    <row r="262" spans="1:10" x14ac:dyDescent="0.3">
      <c r="A262" s="1">
        <v>261</v>
      </c>
      <c r="B262" s="7" t="s">
        <v>1067</v>
      </c>
      <c r="C262" s="9" t="s">
        <v>1314</v>
      </c>
      <c r="D262" s="2" t="s">
        <v>2</v>
      </c>
      <c r="E262" s="9" t="s">
        <v>1068</v>
      </c>
      <c r="F262" s="2"/>
      <c r="G262" s="9" t="s">
        <v>13</v>
      </c>
      <c r="H262" s="9" t="s">
        <v>14</v>
      </c>
      <c r="I262" s="2"/>
      <c r="J262" s="2"/>
    </row>
    <row r="263" spans="1:10" x14ac:dyDescent="0.3">
      <c r="A263" s="1">
        <v>262</v>
      </c>
      <c r="B263" s="7" t="s">
        <v>1042</v>
      </c>
      <c r="C263" s="9" t="s">
        <v>1314</v>
      </c>
      <c r="D263" s="2" t="s">
        <v>2</v>
      </c>
      <c r="E263" s="9" t="s">
        <v>31</v>
      </c>
      <c r="F263" s="2"/>
      <c r="G263" s="9" t="s">
        <v>13</v>
      </c>
      <c r="H263" s="9" t="s">
        <v>14</v>
      </c>
      <c r="I263" s="2"/>
      <c r="J263" s="2"/>
    </row>
    <row r="264" spans="1:10" x14ac:dyDescent="0.3">
      <c r="A264" s="1">
        <v>263</v>
      </c>
      <c r="B264" s="7" t="s">
        <v>1041</v>
      </c>
      <c r="C264" s="9" t="s">
        <v>1314</v>
      </c>
      <c r="D264" s="2" t="s">
        <v>2</v>
      </c>
      <c r="E264" s="9" t="s">
        <v>32</v>
      </c>
      <c r="F264" s="2"/>
      <c r="G264" s="9" t="s">
        <v>33</v>
      </c>
      <c r="H264" s="9" t="s">
        <v>34</v>
      </c>
      <c r="I264" s="2"/>
      <c r="J264" s="2"/>
    </row>
    <row r="265" spans="1:10" x14ac:dyDescent="0.3">
      <c r="A265" s="1">
        <v>264</v>
      </c>
      <c r="B265" s="7" t="s">
        <v>36</v>
      </c>
      <c r="C265" s="9" t="s">
        <v>1314</v>
      </c>
      <c r="D265" s="2" t="s">
        <v>2</v>
      </c>
      <c r="E265" s="9" t="s">
        <v>958</v>
      </c>
      <c r="F265" s="2"/>
      <c r="G265" s="9" t="s">
        <v>21</v>
      </c>
      <c r="H265" s="9" t="s">
        <v>22</v>
      </c>
      <c r="I265" s="2"/>
      <c r="J265" s="2"/>
    </row>
    <row r="266" spans="1:10" x14ac:dyDescent="0.3">
      <c r="A266" s="1">
        <v>265</v>
      </c>
      <c r="B266" s="7" t="s">
        <v>1251</v>
      </c>
      <c r="C266" s="9" t="s">
        <v>1314</v>
      </c>
      <c r="D266" s="2" t="s">
        <v>943</v>
      </c>
      <c r="E266" s="9" t="s">
        <v>1</v>
      </c>
      <c r="F266" s="2"/>
      <c r="G266" s="9" t="s">
        <v>3</v>
      </c>
      <c r="H266" s="9" t="s">
        <v>4</v>
      </c>
      <c r="I266" s="2"/>
      <c r="J266" s="2"/>
    </row>
    <row r="267" spans="1:10" x14ac:dyDescent="0.3">
      <c r="A267" s="1">
        <v>266</v>
      </c>
      <c r="B267" s="7" t="s">
        <v>5</v>
      </c>
      <c r="C267" s="9" t="s">
        <v>1314</v>
      </c>
      <c r="D267" s="2" t="s">
        <v>943</v>
      </c>
      <c r="E267" s="9" t="s">
        <v>6</v>
      </c>
      <c r="F267" s="2"/>
      <c r="G267" s="9" t="s">
        <v>3</v>
      </c>
      <c r="H267" s="9" t="s">
        <v>4</v>
      </c>
      <c r="I267" s="2"/>
      <c r="J267" s="2"/>
    </row>
    <row r="268" spans="1:10" x14ac:dyDescent="0.3">
      <c r="A268" s="1">
        <v>267</v>
      </c>
      <c r="B268" s="7" t="s">
        <v>7</v>
      </c>
      <c r="C268" s="9" t="s">
        <v>1314</v>
      </c>
      <c r="D268" s="2" t="s">
        <v>943</v>
      </c>
      <c r="E268" s="9" t="s">
        <v>8</v>
      </c>
      <c r="F268" s="2"/>
      <c r="G268" s="9" t="s">
        <v>1025</v>
      </c>
      <c r="H268" s="9" t="s">
        <v>10</v>
      </c>
      <c r="I268" s="2"/>
      <c r="J268" s="2"/>
    </row>
    <row r="269" spans="1:10" x14ac:dyDescent="0.3">
      <c r="A269" s="1">
        <v>268</v>
      </c>
      <c r="B269" s="7" t="s">
        <v>11</v>
      </c>
      <c r="C269" s="9" t="s">
        <v>1314</v>
      </c>
      <c r="D269" s="2" t="s">
        <v>943</v>
      </c>
      <c r="E269" s="9" t="s">
        <v>12</v>
      </c>
      <c r="F269" s="2"/>
      <c r="G269" s="9" t="s">
        <v>13</v>
      </c>
      <c r="H269" s="9" t="s">
        <v>14</v>
      </c>
      <c r="I269" s="2"/>
      <c r="J269" s="2"/>
    </row>
    <row r="270" spans="1:10" x14ac:dyDescent="0.3">
      <c r="A270" s="1">
        <v>269</v>
      </c>
      <c r="B270" s="7" t="s">
        <v>1026</v>
      </c>
      <c r="C270" s="9" t="s">
        <v>1314</v>
      </c>
      <c r="D270" s="2" t="s">
        <v>943</v>
      </c>
      <c r="E270" s="9" t="s">
        <v>35</v>
      </c>
      <c r="F270" s="2"/>
      <c r="G270" s="9" t="s">
        <v>9</v>
      </c>
      <c r="H270" s="9" t="s">
        <v>30</v>
      </c>
      <c r="I270" s="2"/>
      <c r="J270" s="2"/>
    </row>
    <row r="271" spans="1:10" x14ac:dyDescent="0.3">
      <c r="A271" s="1">
        <v>270</v>
      </c>
      <c r="B271" s="7" t="s">
        <v>1027</v>
      </c>
      <c r="C271" s="9" t="s">
        <v>1314</v>
      </c>
      <c r="D271" s="2" t="s">
        <v>943</v>
      </c>
      <c r="E271" s="9" t="s">
        <v>1028</v>
      </c>
      <c r="F271" s="2"/>
      <c r="G271" s="9" t="s">
        <v>9</v>
      </c>
      <c r="H271" s="9" t="s">
        <v>30</v>
      </c>
      <c r="I271" s="2"/>
      <c r="J271" s="2"/>
    </row>
    <row r="272" spans="1:10" x14ac:dyDescent="0.3">
      <c r="A272" s="1">
        <v>271</v>
      </c>
      <c r="B272" s="7" t="s">
        <v>1252</v>
      </c>
      <c r="C272" s="9" t="s">
        <v>1314</v>
      </c>
      <c r="D272" s="2" t="s">
        <v>943</v>
      </c>
      <c r="E272" s="9" t="s">
        <v>1029</v>
      </c>
      <c r="F272" s="2"/>
      <c r="G272" s="9" t="s">
        <v>1030</v>
      </c>
      <c r="H272" s="9" t="s">
        <v>14</v>
      </c>
      <c r="I272" s="2"/>
      <c r="J272" s="2"/>
    </row>
    <row r="273" spans="1:10" x14ac:dyDescent="0.3">
      <c r="A273" s="1">
        <v>272</v>
      </c>
      <c r="B273" s="7" t="s">
        <v>1253</v>
      </c>
      <c r="C273" s="9" t="s">
        <v>1314</v>
      </c>
      <c r="D273" s="2" t="s">
        <v>943</v>
      </c>
      <c r="E273" s="9" t="s">
        <v>1031</v>
      </c>
      <c r="F273" s="2"/>
      <c r="G273" s="9" t="s">
        <v>40</v>
      </c>
      <c r="H273" s="9" t="s">
        <v>55</v>
      </c>
      <c r="I273" s="2"/>
      <c r="J273" s="2"/>
    </row>
    <row r="274" spans="1:10" x14ac:dyDescent="0.3">
      <c r="A274" s="1">
        <v>273</v>
      </c>
      <c r="B274" s="7" t="s">
        <v>1254</v>
      </c>
      <c r="C274" s="9" t="s">
        <v>1314</v>
      </c>
      <c r="D274" s="2" t="s">
        <v>943</v>
      </c>
      <c r="E274" s="9" t="s">
        <v>945</v>
      </c>
      <c r="F274" s="2"/>
      <c r="G274" s="9" t="s">
        <v>40</v>
      </c>
      <c r="H274" s="9" t="s">
        <v>55</v>
      </c>
      <c r="I274" s="2"/>
      <c r="J274" s="2"/>
    </row>
    <row r="275" spans="1:10" x14ac:dyDescent="0.3">
      <c r="A275" s="1">
        <v>274</v>
      </c>
      <c r="B275" s="7" t="s">
        <v>1255</v>
      </c>
      <c r="C275" s="9" t="s">
        <v>1314</v>
      </c>
      <c r="D275" s="2" t="s">
        <v>943</v>
      </c>
      <c r="E275" s="9" t="s">
        <v>946</v>
      </c>
      <c r="F275" s="2"/>
      <c r="G275" s="9" t="s">
        <v>40</v>
      </c>
      <c r="H275" s="9" t="s">
        <v>55</v>
      </c>
      <c r="I275" s="2"/>
      <c r="J275" s="2"/>
    </row>
    <row r="276" spans="1:10" x14ac:dyDescent="0.3">
      <c r="A276" s="1">
        <v>275</v>
      </c>
      <c r="B276" s="7" t="s">
        <v>1103</v>
      </c>
      <c r="C276" s="9" t="s">
        <v>1314</v>
      </c>
      <c r="D276" s="2" t="s">
        <v>943</v>
      </c>
      <c r="E276" s="9" t="s">
        <v>1032</v>
      </c>
      <c r="F276" s="2"/>
      <c r="G276" s="9" t="s">
        <v>26</v>
      </c>
      <c r="H276" s="9" t="s">
        <v>947</v>
      </c>
      <c r="I276" s="2"/>
      <c r="J276" s="2"/>
    </row>
    <row r="277" spans="1:10" x14ac:dyDescent="0.3">
      <c r="A277" s="1">
        <v>276</v>
      </c>
      <c r="B277" s="7" t="s">
        <v>1033</v>
      </c>
      <c r="C277" s="9" t="s">
        <v>1314</v>
      </c>
      <c r="D277" s="2" t="s">
        <v>943</v>
      </c>
      <c r="E277" s="9" t="s">
        <v>1034</v>
      </c>
      <c r="F277" s="2"/>
      <c r="G277" s="9" t="s">
        <v>26</v>
      </c>
      <c r="H277" s="9" t="s">
        <v>1035</v>
      </c>
      <c r="I277" s="2"/>
      <c r="J277" s="2"/>
    </row>
    <row r="278" spans="1:10" x14ac:dyDescent="0.3">
      <c r="A278" s="1">
        <v>277</v>
      </c>
      <c r="B278" s="7" t="s">
        <v>1256</v>
      </c>
      <c r="C278" s="9" t="s">
        <v>1314</v>
      </c>
      <c r="D278" s="2" t="s">
        <v>943</v>
      </c>
      <c r="E278" s="9" t="s">
        <v>955</v>
      </c>
      <c r="F278" s="2"/>
      <c r="G278" s="9" t="s">
        <v>26</v>
      </c>
      <c r="H278" s="9" t="s">
        <v>57</v>
      </c>
      <c r="I278" s="2"/>
      <c r="J278" s="2"/>
    </row>
    <row r="279" spans="1:10" x14ac:dyDescent="0.3">
      <c r="A279" s="1">
        <v>278</v>
      </c>
      <c r="B279" s="7" t="s">
        <v>1036</v>
      </c>
      <c r="C279" s="9" t="s">
        <v>1314</v>
      </c>
      <c r="D279" s="2" t="s">
        <v>943</v>
      </c>
      <c r="E279" s="9" t="s">
        <v>952</v>
      </c>
      <c r="F279" s="2"/>
      <c r="G279" s="9" t="s">
        <v>26</v>
      </c>
      <c r="H279" s="9" t="s">
        <v>951</v>
      </c>
      <c r="I279" s="2"/>
      <c r="J279" s="2"/>
    </row>
    <row r="280" spans="1:10" x14ac:dyDescent="0.3">
      <c r="A280" s="1">
        <v>279</v>
      </c>
      <c r="B280" s="7" t="s">
        <v>1037</v>
      </c>
      <c r="C280" s="9" t="s">
        <v>1314</v>
      </c>
      <c r="D280" s="2" t="s">
        <v>943</v>
      </c>
      <c r="E280" s="9" t="s">
        <v>953</v>
      </c>
      <c r="F280" s="2"/>
      <c r="G280" s="9" t="s">
        <v>26</v>
      </c>
      <c r="H280" s="9" t="s">
        <v>951</v>
      </c>
      <c r="I280" s="2"/>
      <c r="J280" s="2"/>
    </row>
    <row r="281" spans="1:10" x14ac:dyDescent="0.3">
      <c r="A281" s="1">
        <v>280</v>
      </c>
      <c r="B281" s="7" t="s">
        <v>1038</v>
      </c>
      <c r="C281" s="9" t="s">
        <v>1314</v>
      </c>
      <c r="D281" s="2" t="s">
        <v>943</v>
      </c>
      <c r="E281" s="9" t="s">
        <v>1039</v>
      </c>
      <c r="F281" s="2"/>
      <c r="G281" s="9" t="s">
        <v>26</v>
      </c>
      <c r="H281" s="9" t="s">
        <v>57</v>
      </c>
      <c r="I281" s="2"/>
      <c r="J281" s="2"/>
    </row>
    <row r="282" spans="1:10" x14ac:dyDescent="0.3">
      <c r="A282" s="1">
        <v>281</v>
      </c>
      <c r="B282" s="7" t="s">
        <v>1040</v>
      </c>
      <c r="C282" s="9" t="s">
        <v>1314</v>
      </c>
      <c r="D282" s="2" t="s">
        <v>943</v>
      </c>
      <c r="E282" s="9" t="s">
        <v>23</v>
      </c>
      <c r="F282" s="2"/>
      <c r="G282" s="9" t="s">
        <v>3</v>
      </c>
      <c r="H282" s="9" t="s">
        <v>4</v>
      </c>
      <c r="I282" s="2"/>
      <c r="J282" s="2"/>
    </row>
    <row r="283" spans="1:10" x14ac:dyDescent="0.3">
      <c r="A283" s="1">
        <v>282</v>
      </c>
      <c r="B283" s="7" t="s">
        <v>1041</v>
      </c>
      <c r="C283" s="9" t="s">
        <v>1314</v>
      </c>
      <c r="D283" s="2" t="s">
        <v>943</v>
      </c>
      <c r="E283" s="9" t="s">
        <v>32</v>
      </c>
      <c r="F283" s="2"/>
      <c r="G283" s="9" t="s">
        <v>33</v>
      </c>
      <c r="H283" s="9" t="s">
        <v>34</v>
      </c>
      <c r="I283" s="2"/>
      <c r="J283" s="2"/>
    </row>
    <row r="284" spans="1:10" x14ac:dyDescent="0.3">
      <c r="A284" s="1">
        <v>283</v>
      </c>
      <c r="B284" s="7" t="s">
        <v>1042</v>
      </c>
      <c r="C284" s="9" t="s">
        <v>1314</v>
      </c>
      <c r="D284" s="2" t="s">
        <v>943</v>
      </c>
      <c r="E284" s="9" t="s">
        <v>31</v>
      </c>
      <c r="F284" s="2"/>
      <c r="G284" s="9" t="s">
        <v>13</v>
      </c>
      <c r="H284" s="9" t="s">
        <v>14</v>
      </c>
      <c r="I284" s="2"/>
      <c r="J284" s="2"/>
    </row>
    <row r="285" spans="1:10" x14ac:dyDescent="0.3">
      <c r="A285" s="1">
        <v>284</v>
      </c>
      <c r="B285" s="7" t="s">
        <v>36</v>
      </c>
      <c r="C285" s="9" t="s">
        <v>1314</v>
      </c>
      <c r="D285" s="2" t="s">
        <v>943</v>
      </c>
      <c r="E285" s="9" t="s">
        <v>958</v>
      </c>
      <c r="F285" s="2"/>
      <c r="G285" s="9" t="s">
        <v>21</v>
      </c>
      <c r="H285" s="9" t="s">
        <v>22</v>
      </c>
      <c r="I285" s="2"/>
      <c r="J285" s="2"/>
    </row>
    <row r="286" spans="1:10" x14ac:dyDescent="0.3">
      <c r="A286" s="1">
        <v>285</v>
      </c>
      <c r="B286" s="7" t="s">
        <v>1043</v>
      </c>
      <c r="C286" s="9" t="s">
        <v>1314</v>
      </c>
      <c r="D286" s="2" t="s">
        <v>943</v>
      </c>
      <c r="E286" s="9" t="s">
        <v>54</v>
      </c>
      <c r="F286" s="2"/>
      <c r="G286" s="9" t="s">
        <v>40</v>
      </c>
      <c r="H286" s="9" t="s">
        <v>47</v>
      </c>
      <c r="I286" s="2"/>
      <c r="J286" s="2"/>
    </row>
    <row r="287" spans="1:10" x14ac:dyDescent="0.3">
      <c r="A287" s="1">
        <v>286</v>
      </c>
      <c r="B287" s="7" t="s">
        <v>1044</v>
      </c>
      <c r="C287" s="9" t="s">
        <v>1314</v>
      </c>
      <c r="D287" s="2" t="s">
        <v>943</v>
      </c>
      <c r="E287" s="9" t="s">
        <v>961</v>
      </c>
      <c r="F287" s="2"/>
      <c r="G287" s="9" t="s">
        <v>40</v>
      </c>
      <c r="H287" s="9" t="s">
        <v>27</v>
      </c>
      <c r="I287" s="2"/>
      <c r="J287" s="2"/>
    </row>
    <row r="288" spans="1:10" x14ac:dyDescent="0.3">
      <c r="A288" s="1">
        <v>287</v>
      </c>
      <c r="B288" s="7" t="s">
        <v>1045</v>
      </c>
      <c r="C288" s="9" t="s">
        <v>1314</v>
      </c>
      <c r="D288" s="2" t="s">
        <v>943</v>
      </c>
      <c r="E288" s="9" t="s">
        <v>39</v>
      </c>
      <c r="F288" s="2"/>
      <c r="G288" s="9" t="s">
        <v>40</v>
      </c>
      <c r="H288" s="9" t="s">
        <v>27</v>
      </c>
      <c r="I288" s="2"/>
      <c r="J288" s="2"/>
    </row>
    <row r="289" spans="1:10" x14ac:dyDescent="0.3">
      <c r="A289" s="1">
        <v>288</v>
      </c>
      <c r="B289" s="7" t="s">
        <v>1046</v>
      </c>
      <c r="C289" s="9" t="s">
        <v>1314</v>
      </c>
      <c r="D289" s="2" t="s">
        <v>943</v>
      </c>
      <c r="E289" s="9" t="s">
        <v>965</v>
      </c>
      <c r="F289" s="2"/>
      <c r="G289" s="9" t="s">
        <v>988</v>
      </c>
      <c r="H289" s="9" t="s">
        <v>951</v>
      </c>
      <c r="I289" s="2"/>
      <c r="J289" s="2"/>
    </row>
    <row r="290" spans="1:10" x14ac:dyDescent="0.3">
      <c r="A290" s="1">
        <v>289</v>
      </c>
      <c r="B290" s="7" t="s">
        <v>1047</v>
      </c>
      <c r="C290" s="9" t="s">
        <v>1314</v>
      </c>
      <c r="D290" s="2" t="s">
        <v>943</v>
      </c>
      <c r="E290" s="9" t="s">
        <v>1048</v>
      </c>
      <c r="F290" s="2"/>
      <c r="G290" s="9" t="s">
        <v>58</v>
      </c>
      <c r="H290" s="9" t="s">
        <v>47</v>
      </c>
      <c r="I290" s="2"/>
      <c r="J290" s="2"/>
    </row>
    <row r="291" spans="1:10" x14ac:dyDescent="0.3">
      <c r="A291" s="1">
        <v>290</v>
      </c>
      <c r="B291" s="7" t="s">
        <v>0</v>
      </c>
      <c r="C291" s="9" t="s">
        <v>1314</v>
      </c>
      <c r="D291" s="1" t="s">
        <v>1069</v>
      </c>
      <c r="E291" s="9" t="s">
        <v>1</v>
      </c>
      <c r="F291" s="2"/>
      <c r="G291" s="9" t="s">
        <v>3</v>
      </c>
      <c r="H291" s="9" t="s">
        <v>4</v>
      </c>
      <c r="I291" s="2"/>
      <c r="J291" s="2"/>
    </row>
    <row r="292" spans="1:10" x14ac:dyDescent="0.3">
      <c r="A292" s="1">
        <v>291</v>
      </c>
      <c r="B292" s="7" t="s">
        <v>5</v>
      </c>
      <c r="C292" s="9" t="s">
        <v>1314</v>
      </c>
      <c r="D292" s="1" t="s">
        <v>1069</v>
      </c>
      <c r="E292" s="9" t="s">
        <v>6</v>
      </c>
      <c r="F292" s="2"/>
      <c r="G292" s="9" t="s">
        <v>3</v>
      </c>
      <c r="H292" s="9" t="s">
        <v>4</v>
      </c>
      <c r="I292" s="2"/>
      <c r="J292" s="2"/>
    </row>
    <row r="293" spans="1:10" x14ac:dyDescent="0.3">
      <c r="A293" s="1">
        <v>292</v>
      </c>
      <c r="B293" s="7" t="s">
        <v>7</v>
      </c>
      <c r="C293" s="9" t="s">
        <v>1314</v>
      </c>
      <c r="D293" s="1" t="s">
        <v>1069</v>
      </c>
      <c r="E293" s="9" t="s">
        <v>8</v>
      </c>
      <c r="F293" s="2"/>
      <c r="G293" s="9" t="s">
        <v>1025</v>
      </c>
      <c r="H293" s="9" t="s">
        <v>10</v>
      </c>
      <c r="I293" s="2"/>
      <c r="J293" s="2"/>
    </row>
    <row r="294" spans="1:10" x14ac:dyDescent="0.3">
      <c r="A294" s="1">
        <v>293</v>
      </c>
      <c r="B294" s="7" t="s">
        <v>11</v>
      </c>
      <c r="C294" s="9" t="s">
        <v>1314</v>
      </c>
      <c r="D294" s="1" t="s">
        <v>1069</v>
      </c>
      <c r="E294" s="9" t="s">
        <v>12</v>
      </c>
      <c r="F294" s="2"/>
      <c r="G294" s="9" t="s">
        <v>13</v>
      </c>
      <c r="H294" s="9" t="s">
        <v>14</v>
      </c>
      <c r="I294" s="2"/>
      <c r="J294" s="2"/>
    </row>
    <row r="295" spans="1:10" x14ac:dyDescent="0.3">
      <c r="A295" s="1">
        <v>294</v>
      </c>
      <c r="B295" s="7" t="s">
        <v>15</v>
      </c>
      <c r="C295" s="9" t="s">
        <v>1314</v>
      </c>
      <c r="D295" s="1" t="s">
        <v>1069</v>
      </c>
      <c r="E295" s="9" t="s">
        <v>16</v>
      </c>
      <c r="F295" s="2"/>
      <c r="G295" s="9" t="s">
        <v>957</v>
      </c>
      <c r="H295" s="9" t="s">
        <v>18</v>
      </c>
      <c r="I295" s="2"/>
      <c r="J295" s="2"/>
    </row>
    <row r="296" spans="1:10" x14ac:dyDescent="0.3">
      <c r="A296" s="1">
        <v>295</v>
      </c>
      <c r="B296" s="7" t="s">
        <v>28</v>
      </c>
      <c r="C296" s="9" t="s">
        <v>1314</v>
      </c>
      <c r="D296" s="1" t="s">
        <v>1069</v>
      </c>
      <c r="E296" s="9" t="s">
        <v>29</v>
      </c>
      <c r="F296" s="2"/>
      <c r="G296" s="9" t="s">
        <v>9</v>
      </c>
      <c r="H296" s="9" t="s">
        <v>30</v>
      </c>
      <c r="I296" s="2"/>
      <c r="J296" s="2"/>
    </row>
    <row r="297" spans="1:10" x14ac:dyDescent="0.3">
      <c r="A297" s="1">
        <v>296</v>
      </c>
      <c r="B297" s="7" t="s">
        <v>1056</v>
      </c>
      <c r="C297" s="9" t="s">
        <v>1314</v>
      </c>
      <c r="D297" s="1" t="s">
        <v>1069</v>
      </c>
      <c r="E297" s="9" t="s">
        <v>35</v>
      </c>
      <c r="F297" s="2"/>
      <c r="G297" s="9" t="s">
        <v>9</v>
      </c>
      <c r="H297" s="9" t="s">
        <v>30</v>
      </c>
      <c r="I297" s="2"/>
      <c r="J297" s="2"/>
    </row>
    <row r="298" spans="1:10" x14ac:dyDescent="0.3">
      <c r="A298" s="1">
        <v>297</v>
      </c>
      <c r="B298" s="7" t="s">
        <v>1070</v>
      </c>
      <c r="C298" s="9" t="s">
        <v>1314</v>
      </c>
      <c r="D298" s="1" t="s">
        <v>1069</v>
      </c>
      <c r="E298" s="9" t="s">
        <v>52</v>
      </c>
      <c r="F298" s="2"/>
      <c r="G298" s="9" t="s">
        <v>9</v>
      </c>
      <c r="H298" s="9" t="s">
        <v>30</v>
      </c>
      <c r="I298" s="2"/>
      <c r="J298" s="2"/>
    </row>
    <row r="299" spans="1:10" x14ac:dyDescent="0.3">
      <c r="A299" s="1">
        <v>298</v>
      </c>
      <c r="B299" s="7" t="s">
        <v>1071</v>
      </c>
      <c r="C299" s="9" t="s">
        <v>1314</v>
      </c>
      <c r="D299" s="1" t="s">
        <v>1069</v>
      </c>
      <c r="E299" s="9" t="s">
        <v>1052</v>
      </c>
      <c r="F299" s="2"/>
      <c r="G299" s="9" t="s">
        <v>40</v>
      </c>
      <c r="H299" s="9" t="s">
        <v>1053</v>
      </c>
      <c r="I299" s="2"/>
      <c r="J299" s="2"/>
    </row>
    <row r="300" spans="1:10" x14ac:dyDescent="0.3">
      <c r="A300" s="1">
        <v>299</v>
      </c>
      <c r="B300" s="7" t="s">
        <v>1072</v>
      </c>
      <c r="C300" s="9" t="s">
        <v>1314</v>
      </c>
      <c r="D300" s="1" t="s">
        <v>1069</v>
      </c>
      <c r="E300" s="9" t="s">
        <v>1055</v>
      </c>
      <c r="F300" s="2"/>
      <c r="G300" s="9" t="s">
        <v>40</v>
      </c>
      <c r="H300" s="9" t="s">
        <v>47</v>
      </c>
      <c r="I300" s="2"/>
      <c r="J300" s="2"/>
    </row>
    <row r="301" spans="1:10" x14ac:dyDescent="0.3">
      <c r="A301" s="1">
        <v>300</v>
      </c>
      <c r="B301" s="7" t="s">
        <v>1257</v>
      </c>
      <c r="C301" s="9" t="s">
        <v>1314</v>
      </c>
      <c r="D301" s="1" t="s">
        <v>1069</v>
      </c>
      <c r="E301" s="9" t="s">
        <v>25</v>
      </c>
      <c r="F301" s="2"/>
      <c r="G301" s="9" t="s">
        <v>26</v>
      </c>
      <c r="H301" s="9" t="s">
        <v>27</v>
      </c>
      <c r="I301" s="2"/>
      <c r="J301" s="2"/>
    </row>
    <row r="302" spans="1:10" x14ac:dyDescent="0.3">
      <c r="A302" s="1">
        <v>301</v>
      </c>
      <c r="B302" s="7" t="s">
        <v>1258</v>
      </c>
      <c r="C302" s="9" t="s">
        <v>1314</v>
      </c>
      <c r="D302" s="1" t="s">
        <v>1069</v>
      </c>
      <c r="E302" s="9" t="s">
        <v>1050</v>
      </c>
      <c r="F302" s="2"/>
      <c r="G302" s="9" t="s">
        <v>26</v>
      </c>
      <c r="H302" s="9" t="s">
        <v>57</v>
      </c>
      <c r="I302" s="2"/>
      <c r="J302" s="2"/>
    </row>
    <row r="303" spans="1:10" x14ac:dyDescent="0.3">
      <c r="A303" s="1">
        <v>302</v>
      </c>
      <c r="B303" s="7" t="s">
        <v>1073</v>
      </c>
      <c r="C303" s="9" t="s">
        <v>1314</v>
      </c>
      <c r="D303" s="1" t="s">
        <v>1069</v>
      </c>
      <c r="E303" s="9" t="s">
        <v>54</v>
      </c>
      <c r="F303" s="2"/>
      <c r="G303" s="9" t="s">
        <v>40</v>
      </c>
      <c r="H303" s="9" t="s">
        <v>47</v>
      </c>
      <c r="I303" s="2"/>
      <c r="J303" s="2"/>
    </row>
    <row r="304" spans="1:10" x14ac:dyDescent="0.3">
      <c r="A304" s="1">
        <v>303</v>
      </c>
      <c r="B304" s="7" t="s">
        <v>1074</v>
      </c>
      <c r="C304" s="9" t="s">
        <v>1314</v>
      </c>
      <c r="D304" s="1" t="s">
        <v>1069</v>
      </c>
      <c r="E304" s="9" t="s">
        <v>1059</v>
      </c>
      <c r="F304" s="2"/>
      <c r="G304" s="9" t="s">
        <v>40</v>
      </c>
      <c r="H304" s="9" t="s">
        <v>1013</v>
      </c>
      <c r="I304" s="2"/>
      <c r="J304" s="2"/>
    </row>
    <row r="305" spans="1:10" x14ac:dyDescent="0.3">
      <c r="A305" s="1">
        <v>304</v>
      </c>
      <c r="B305" s="7" t="s">
        <v>1075</v>
      </c>
      <c r="C305" s="9" t="s">
        <v>1314</v>
      </c>
      <c r="D305" s="1" t="s">
        <v>1069</v>
      </c>
      <c r="E305" s="9" t="s">
        <v>51</v>
      </c>
      <c r="F305" s="2"/>
      <c r="G305" s="9" t="s">
        <v>49</v>
      </c>
      <c r="H305" s="9" t="s">
        <v>27</v>
      </c>
      <c r="I305" s="2"/>
      <c r="J305" s="2"/>
    </row>
    <row r="306" spans="1:10" x14ac:dyDescent="0.3">
      <c r="A306" s="1">
        <v>305</v>
      </c>
      <c r="B306" s="7" t="s">
        <v>1076</v>
      </c>
      <c r="C306" s="9" t="s">
        <v>1314</v>
      </c>
      <c r="D306" s="1" t="s">
        <v>1069</v>
      </c>
      <c r="E306" s="9" t="s">
        <v>1062</v>
      </c>
      <c r="F306" s="2"/>
      <c r="G306" s="9" t="s">
        <v>40</v>
      </c>
      <c r="H306" s="9" t="s">
        <v>1013</v>
      </c>
      <c r="I306" s="2"/>
      <c r="J306" s="2"/>
    </row>
    <row r="307" spans="1:10" x14ac:dyDescent="0.3">
      <c r="A307" s="1">
        <v>306</v>
      </c>
      <c r="B307" s="7" t="s">
        <v>1077</v>
      </c>
      <c r="C307" s="9" t="s">
        <v>1314</v>
      </c>
      <c r="D307" s="1" t="s">
        <v>1069</v>
      </c>
      <c r="E307" s="9" t="s">
        <v>1064</v>
      </c>
      <c r="F307" s="2"/>
      <c r="G307" s="9" t="s">
        <v>49</v>
      </c>
      <c r="H307" s="9" t="s">
        <v>27</v>
      </c>
      <c r="I307" s="2"/>
      <c r="J307" s="2"/>
    </row>
    <row r="308" spans="1:10" x14ac:dyDescent="0.3">
      <c r="A308" s="1">
        <v>307</v>
      </c>
      <c r="B308" s="7" t="s">
        <v>1065</v>
      </c>
      <c r="C308" s="9" t="s">
        <v>1314</v>
      </c>
      <c r="D308" s="1" t="s">
        <v>1069</v>
      </c>
      <c r="E308" s="9" t="s">
        <v>961</v>
      </c>
      <c r="F308" s="2"/>
      <c r="G308" s="9" t="s">
        <v>40</v>
      </c>
      <c r="H308" s="9" t="s">
        <v>27</v>
      </c>
      <c r="I308" s="2"/>
      <c r="J308" s="2"/>
    </row>
    <row r="309" spans="1:10" x14ac:dyDescent="0.3">
      <c r="A309" s="1">
        <v>308</v>
      </c>
      <c r="B309" s="7" t="s">
        <v>1045</v>
      </c>
      <c r="C309" s="9" t="s">
        <v>1314</v>
      </c>
      <c r="D309" s="1" t="s">
        <v>1069</v>
      </c>
      <c r="E309" s="9" t="s">
        <v>39</v>
      </c>
      <c r="F309" s="2"/>
      <c r="G309" s="9" t="s">
        <v>40</v>
      </c>
      <c r="H309" s="9" t="s">
        <v>27</v>
      </c>
      <c r="I309" s="2"/>
      <c r="J309" s="2"/>
    </row>
    <row r="310" spans="1:10" x14ac:dyDescent="0.3">
      <c r="A310" s="1">
        <v>309</v>
      </c>
      <c r="B310" s="7" t="s">
        <v>1078</v>
      </c>
      <c r="C310" s="9" t="s">
        <v>1314</v>
      </c>
      <c r="D310" s="1" t="s">
        <v>1069</v>
      </c>
      <c r="E310" s="9" t="s">
        <v>53</v>
      </c>
      <c r="F310" s="2"/>
      <c r="G310" s="9" t="s">
        <v>40</v>
      </c>
      <c r="H310" s="9" t="s">
        <v>47</v>
      </c>
      <c r="I310" s="2"/>
      <c r="J310" s="2"/>
    </row>
    <row r="311" spans="1:10" x14ac:dyDescent="0.3">
      <c r="A311" s="1">
        <v>310</v>
      </c>
      <c r="B311" s="7" t="s">
        <v>1040</v>
      </c>
      <c r="C311" s="9" t="s">
        <v>1314</v>
      </c>
      <c r="D311" s="1" t="s">
        <v>1069</v>
      </c>
      <c r="E311" s="9" t="s">
        <v>23</v>
      </c>
      <c r="F311" s="2"/>
      <c r="G311" s="9" t="s">
        <v>3</v>
      </c>
      <c r="H311" s="9" t="s">
        <v>4</v>
      </c>
      <c r="I311" s="2"/>
      <c r="J311" s="2"/>
    </row>
    <row r="312" spans="1:10" x14ac:dyDescent="0.3">
      <c r="A312" s="1">
        <v>311</v>
      </c>
      <c r="B312" s="7" t="s">
        <v>1067</v>
      </c>
      <c r="C312" s="9" t="s">
        <v>1314</v>
      </c>
      <c r="D312" s="1" t="s">
        <v>1069</v>
      </c>
      <c r="E312" s="9" t="s">
        <v>1068</v>
      </c>
      <c r="F312" s="2"/>
      <c r="G312" s="9" t="s">
        <v>13</v>
      </c>
      <c r="H312" s="9" t="s">
        <v>14</v>
      </c>
      <c r="I312" s="2"/>
      <c r="J312" s="2"/>
    </row>
    <row r="313" spans="1:10" x14ac:dyDescent="0.3">
      <c r="A313" s="1">
        <v>312</v>
      </c>
      <c r="B313" s="7" t="s">
        <v>1042</v>
      </c>
      <c r="C313" s="9" t="s">
        <v>1314</v>
      </c>
      <c r="D313" s="1" t="s">
        <v>1069</v>
      </c>
      <c r="E313" s="9" t="s">
        <v>31</v>
      </c>
      <c r="F313" s="2"/>
      <c r="G313" s="9" t="s">
        <v>13</v>
      </c>
      <c r="H313" s="9" t="s">
        <v>14</v>
      </c>
      <c r="I313" s="2"/>
      <c r="J313" s="2"/>
    </row>
    <row r="314" spans="1:10" x14ac:dyDescent="0.3">
      <c r="A314" s="1">
        <v>313</v>
      </c>
      <c r="B314" s="7" t="s">
        <v>1041</v>
      </c>
      <c r="C314" s="9" t="s">
        <v>1314</v>
      </c>
      <c r="D314" s="1" t="s">
        <v>1069</v>
      </c>
      <c r="E314" s="9" t="s">
        <v>32</v>
      </c>
      <c r="F314" s="2"/>
      <c r="G314" s="9" t="s">
        <v>33</v>
      </c>
      <c r="H314" s="9" t="s">
        <v>34</v>
      </c>
      <c r="I314" s="2"/>
      <c r="J314" s="2"/>
    </row>
    <row r="315" spans="1:10" x14ac:dyDescent="0.3">
      <c r="A315" s="1">
        <v>314</v>
      </c>
      <c r="B315" s="7" t="s">
        <v>36</v>
      </c>
      <c r="C315" s="9" t="s">
        <v>1314</v>
      </c>
      <c r="D315" s="1" t="s">
        <v>1069</v>
      </c>
      <c r="E315" s="9" t="s">
        <v>958</v>
      </c>
      <c r="F315" s="2"/>
      <c r="G315" s="9" t="s">
        <v>21</v>
      </c>
      <c r="H315" s="9" t="s">
        <v>22</v>
      </c>
      <c r="I315" s="2"/>
      <c r="J315" s="2"/>
    </row>
    <row r="316" spans="1:10" x14ac:dyDescent="0.3">
      <c r="A316" s="1">
        <v>315</v>
      </c>
      <c r="B316" s="7" t="s">
        <v>1259</v>
      </c>
      <c r="C316" s="9" t="s">
        <v>1314</v>
      </c>
      <c r="D316" s="1" t="s">
        <v>1079</v>
      </c>
      <c r="E316" s="9" t="s">
        <v>1</v>
      </c>
      <c r="F316" s="2"/>
      <c r="G316" s="1" t="s">
        <v>3</v>
      </c>
      <c r="H316" s="1" t="s">
        <v>4</v>
      </c>
      <c r="I316" s="2"/>
      <c r="J316" s="2"/>
    </row>
    <row r="317" spans="1:10" x14ac:dyDescent="0.3">
      <c r="A317" s="1">
        <v>316</v>
      </c>
      <c r="B317" s="7" t="s">
        <v>1260</v>
      </c>
      <c r="C317" s="9" t="s">
        <v>1314</v>
      </c>
      <c r="D317" s="1" t="s">
        <v>1079</v>
      </c>
      <c r="E317" s="9" t="s">
        <v>6</v>
      </c>
      <c r="F317" s="2"/>
      <c r="G317" s="1" t="s">
        <v>3</v>
      </c>
      <c r="H317" s="1" t="s">
        <v>4</v>
      </c>
      <c r="I317" s="2"/>
      <c r="J317" s="2"/>
    </row>
    <row r="318" spans="1:10" x14ac:dyDescent="0.3">
      <c r="A318" s="1">
        <v>317</v>
      </c>
      <c r="B318" s="7" t="s">
        <v>944</v>
      </c>
      <c r="C318" s="9" t="s">
        <v>1314</v>
      </c>
      <c r="D318" s="1" t="s">
        <v>1079</v>
      </c>
      <c r="E318" s="9" t="s">
        <v>8</v>
      </c>
      <c r="F318" s="2"/>
      <c r="G318" s="1" t="s">
        <v>9</v>
      </c>
      <c r="H318" s="1" t="s">
        <v>10</v>
      </c>
      <c r="I318" s="2"/>
      <c r="J318" s="2"/>
    </row>
    <row r="319" spans="1:10" x14ac:dyDescent="0.3">
      <c r="A319" s="1">
        <v>318</v>
      </c>
      <c r="B319" s="7" t="s">
        <v>1080</v>
      </c>
      <c r="C319" s="9" t="s">
        <v>1314</v>
      </c>
      <c r="D319" s="1" t="s">
        <v>1079</v>
      </c>
      <c r="E319" s="9" t="s">
        <v>12</v>
      </c>
      <c r="F319" s="2"/>
      <c r="G319" s="1" t="s">
        <v>13</v>
      </c>
      <c r="H319" s="1" t="s">
        <v>14</v>
      </c>
      <c r="I319" s="2"/>
      <c r="J319" s="2"/>
    </row>
    <row r="320" spans="1:10" x14ac:dyDescent="0.3">
      <c r="A320" s="1">
        <v>319</v>
      </c>
      <c r="B320" s="7" t="s">
        <v>1261</v>
      </c>
      <c r="C320" s="9" t="s">
        <v>1314</v>
      </c>
      <c r="D320" s="1" t="s">
        <v>1079</v>
      </c>
      <c r="E320" s="9" t="s">
        <v>35</v>
      </c>
      <c r="F320" s="2"/>
      <c r="G320" s="1" t="s">
        <v>9</v>
      </c>
      <c r="H320" s="1" t="s">
        <v>30</v>
      </c>
      <c r="I320" s="2"/>
      <c r="J320" s="2"/>
    </row>
    <row r="321" spans="1:10" x14ac:dyDescent="0.3">
      <c r="A321" s="1">
        <v>320</v>
      </c>
      <c r="B321" s="7" t="s">
        <v>1262</v>
      </c>
      <c r="C321" s="9" t="s">
        <v>1314</v>
      </c>
      <c r="D321" s="1" t="s">
        <v>1079</v>
      </c>
      <c r="E321" s="9" t="s">
        <v>1083</v>
      </c>
      <c r="F321" s="2"/>
      <c r="G321" s="1" t="s">
        <v>9</v>
      </c>
      <c r="H321" s="1" t="s">
        <v>30</v>
      </c>
      <c r="I321" s="2"/>
      <c r="J321" s="2"/>
    </row>
    <row r="322" spans="1:10" x14ac:dyDescent="0.3">
      <c r="A322" s="1">
        <v>321</v>
      </c>
      <c r="B322" s="7" t="s">
        <v>1026</v>
      </c>
      <c r="C322" s="9" t="s">
        <v>1314</v>
      </c>
      <c r="D322" s="1" t="s">
        <v>1079</v>
      </c>
      <c r="E322" s="9" t="s">
        <v>1085</v>
      </c>
      <c r="F322" s="2"/>
      <c r="G322" s="1" t="s">
        <v>9</v>
      </c>
      <c r="H322" s="1" t="s">
        <v>30</v>
      </c>
      <c r="I322" s="2"/>
      <c r="J322" s="2"/>
    </row>
    <row r="323" spans="1:10" x14ac:dyDescent="0.3">
      <c r="A323" s="1">
        <v>322</v>
      </c>
      <c r="B323" s="7" t="s">
        <v>1263</v>
      </c>
      <c r="C323" s="9" t="s">
        <v>1314</v>
      </c>
      <c r="D323" s="1" t="s">
        <v>1079</v>
      </c>
      <c r="E323" s="9" t="s">
        <v>53</v>
      </c>
      <c r="F323" s="2"/>
      <c r="G323" s="1" t="s">
        <v>40</v>
      </c>
      <c r="H323" s="1" t="s">
        <v>27</v>
      </c>
      <c r="I323" s="2"/>
      <c r="J323" s="2"/>
    </row>
    <row r="324" spans="1:10" x14ac:dyDescent="0.3">
      <c r="A324" s="1">
        <v>323</v>
      </c>
      <c r="B324" s="7">
        <v>445120123</v>
      </c>
      <c r="C324" s="9" t="s">
        <v>1314</v>
      </c>
      <c r="D324" s="1" t="s">
        <v>1079</v>
      </c>
      <c r="E324" s="9" t="s">
        <v>1086</v>
      </c>
      <c r="F324" s="2"/>
      <c r="G324" s="1" t="s">
        <v>1087</v>
      </c>
      <c r="H324" s="1" t="s">
        <v>18</v>
      </c>
      <c r="I324" s="2"/>
      <c r="J324" s="2"/>
    </row>
    <row r="325" spans="1:10" x14ac:dyDescent="0.3">
      <c r="A325" s="1">
        <v>324</v>
      </c>
      <c r="B325" s="7" t="s">
        <v>1264</v>
      </c>
      <c r="C325" s="9" t="s">
        <v>1314</v>
      </c>
      <c r="D325" s="1" t="s">
        <v>1079</v>
      </c>
      <c r="E325" s="9" t="s">
        <v>1031</v>
      </c>
      <c r="F325" s="2"/>
      <c r="G325" s="1" t="s">
        <v>40</v>
      </c>
      <c r="H325" s="1" t="s">
        <v>55</v>
      </c>
      <c r="I325" s="2"/>
      <c r="J325" s="2"/>
    </row>
    <row r="326" spans="1:10" x14ac:dyDescent="0.3">
      <c r="A326" s="1">
        <v>325</v>
      </c>
      <c r="B326" s="7" t="s">
        <v>1088</v>
      </c>
      <c r="C326" s="9" t="s">
        <v>1314</v>
      </c>
      <c r="D326" s="1" t="s">
        <v>1079</v>
      </c>
      <c r="E326" s="9" t="s">
        <v>945</v>
      </c>
      <c r="F326" s="2"/>
      <c r="G326" s="1" t="s">
        <v>40</v>
      </c>
      <c r="H326" s="1" t="s">
        <v>55</v>
      </c>
      <c r="I326" s="2"/>
      <c r="J326" s="2"/>
    </row>
    <row r="327" spans="1:10" x14ac:dyDescent="0.3">
      <c r="A327" s="1">
        <v>326</v>
      </c>
      <c r="B327" s="7" t="s">
        <v>1089</v>
      </c>
      <c r="C327" s="9" t="s">
        <v>1314</v>
      </c>
      <c r="D327" s="1" t="s">
        <v>1079</v>
      </c>
      <c r="E327" s="9" t="s">
        <v>946</v>
      </c>
      <c r="F327" s="2"/>
      <c r="G327" s="1" t="s">
        <v>40</v>
      </c>
      <c r="H327" s="1" t="s">
        <v>55</v>
      </c>
      <c r="I327" s="2"/>
      <c r="J327" s="2"/>
    </row>
    <row r="328" spans="1:10" x14ac:dyDescent="0.3">
      <c r="A328" s="1">
        <v>327</v>
      </c>
      <c r="B328" s="7" t="s">
        <v>1090</v>
      </c>
      <c r="C328" s="9" t="s">
        <v>1314</v>
      </c>
      <c r="D328" s="1" t="s">
        <v>1079</v>
      </c>
      <c r="E328" s="9" t="s">
        <v>1032</v>
      </c>
      <c r="F328" s="2"/>
      <c r="G328" s="1" t="s">
        <v>26</v>
      </c>
      <c r="H328" s="1" t="s">
        <v>947</v>
      </c>
      <c r="I328" s="2"/>
      <c r="J328" s="2"/>
    </row>
    <row r="329" spans="1:10" x14ac:dyDescent="0.3">
      <c r="A329" s="1">
        <v>328</v>
      </c>
      <c r="B329" s="7" t="s">
        <v>1033</v>
      </c>
      <c r="C329" s="9" t="s">
        <v>1314</v>
      </c>
      <c r="D329" s="1" t="s">
        <v>1079</v>
      </c>
      <c r="E329" s="9" t="s">
        <v>948</v>
      </c>
      <c r="F329" s="2"/>
      <c r="G329" s="1" t="s">
        <v>26</v>
      </c>
      <c r="H329" s="1" t="s">
        <v>1091</v>
      </c>
      <c r="I329" s="2"/>
      <c r="J329" s="2"/>
    </row>
    <row r="330" spans="1:10" x14ac:dyDescent="0.3">
      <c r="A330" s="1">
        <v>329</v>
      </c>
      <c r="B330" s="7" t="s">
        <v>1092</v>
      </c>
      <c r="C330" s="9" t="s">
        <v>1314</v>
      </c>
      <c r="D330" s="1" t="s">
        <v>1079</v>
      </c>
      <c r="E330" s="9" t="s">
        <v>955</v>
      </c>
      <c r="F330" s="2"/>
      <c r="G330" s="1" t="s">
        <v>26</v>
      </c>
      <c r="H330" s="1" t="s">
        <v>50</v>
      </c>
      <c r="I330" s="2"/>
      <c r="J330" s="2"/>
    </row>
    <row r="331" spans="1:10" x14ac:dyDescent="0.3">
      <c r="A331" s="1">
        <v>330</v>
      </c>
      <c r="B331" s="7" t="s">
        <v>1093</v>
      </c>
      <c r="C331" s="9" t="s">
        <v>1314</v>
      </c>
      <c r="D331" s="1" t="s">
        <v>1079</v>
      </c>
      <c r="E331" s="9" t="s">
        <v>952</v>
      </c>
      <c r="F331" s="2"/>
      <c r="G331" s="1" t="s">
        <v>26</v>
      </c>
      <c r="H331" s="1" t="s">
        <v>22</v>
      </c>
      <c r="I331" s="2"/>
      <c r="J331" s="2"/>
    </row>
    <row r="332" spans="1:10" x14ac:dyDescent="0.3">
      <c r="A332" s="1">
        <v>331</v>
      </c>
      <c r="B332" s="7" t="s">
        <v>1094</v>
      </c>
      <c r="C332" s="9" t="s">
        <v>1314</v>
      </c>
      <c r="D332" s="1" t="s">
        <v>1079</v>
      </c>
      <c r="E332" s="9" t="s">
        <v>953</v>
      </c>
      <c r="F332" s="2"/>
      <c r="G332" s="1" t="s">
        <v>26</v>
      </c>
      <c r="H332" s="1" t="s">
        <v>50</v>
      </c>
      <c r="I332" s="2"/>
      <c r="J332" s="2"/>
    </row>
    <row r="333" spans="1:10" x14ac:dyDescent="0.3">
      <c r="A333" s="1">
        <v>332</v>
      </c>
      <c r="B333" s="7" t="s">
        <v>1095</v>
      </c>
      <c r="C333" s="9" t="s">
        <v>1314</v>
      </c>
      <c r="D333" s="1" t="s">
        <v>1079</v>
      </c>
      <c r="E333" s="9" t="s">
        <v>954</v>
      </c>
      <c r="F333" s="2"/>
      <c r="G333" s="1" t="s">
        <v>26</v>
      </c>
      <c r="H333" s="1" t="s">
        <v>50</v>
      </c>
      <c r="I333" s="2"/>
      <c r="J333" s="2"/>
    </row>
    <row r="334" spans="1:10" x14ac:dyDescent="0.3">
      <c r="A334" s="1">
        <v>333</v>
      </c>
      <c r="B334" s="7" t="s">
        <v>1096</v>
      </c>
      <c r="C334" s="9" t="s">
        <v>1314</v>
      </c>
      <c r="D334" s="1" t="s">
        <v>1079</v>
      </c>
      <c r="E334" s="9" t="s">
        <v>1039</v>
      </c>
      <c r="F334" s="2"/>
      <c r="G334" s="1" t="s">
        <v>26</v>
      </c>
      <c r="H334" s="1" t="s">
        <v>22</v>
      </c>
      <c r="I334" s="2"/>
      <c r="J334" s="2"/>
    </row>
    <row r="335" spans="1:10" x14ac:dyDescent="0.3">
      <c r="A335" s="1">
        <v>334</v>
      </c>
      <c r="B335" s="7" t="s">
        <v>1040</v>
      </c>
      <c r="C335" s="9" t="s">
        <v>1314</v>
      </c>
      <c r="D335" s="1" t="s">
        <v>1079</v>
      </c>
      <c r="E335" s="9" t="s">
        <v>23</v>
      </c>
      <c r="F335" s="2"/>
      <c r="G335" s="1" t="s">
        <v>3</v>
      </c>
      <c r="H335" s="1" t="s">
        <v>4</v>
      </c>
      <c r="I335" s="2"/>
      <c r="J335" s="2"/>
    </row>
    <row r="336" spans="1:10" x14ac:dyDescent="0.3">
      <c r="A336" s="1">
        <v>335</v>
      </c>
      <c r="B336" s="7" t="s">
        <v>1041</v>
      </c>
      <c r="C336" s="9" t="s">
        <v>1314</v>
      </c>
      <c r="D336" s="1" t="s">
        <v>1079</v>
      </c>
      <c r="E336" s="9" t="s">
        <v>32</v>
      </c>
      <c r="F336" s="2"/>
      <c r="G336" s="1" t="s">
        <v>33</v>
      </c>
      <c r="H336" s="1" t="s">
        <v>34</v>
      </c>
      <c r="I336" s="2"/>
      <c r="J336" s="2"/>
    </row>
    <row r="337" spans="1:10" x14ac:dyDescent="0.3">
      <c r="A337" s="1">
        <v>336</v>
      </c>
      <c r="B337" s="7" t="s">
        <v>36</v>
      </c>
      <c r="C337" s="9" t="s">
        <v>1314</v>
      </c>
      <c r="D337" s="1" t="s">
        <v>1079</v>
      </c>
      <c r="E337" s="9" t="s">
        <v>958</v>
      </c>
      <c r="F337" s="2"/>
      <c r="G337" s="1" t="s">
        <v>21</v>
      </c>
      <c r="H337" s="1" t="s">
        <v>22</v>
      </c>
      <c r="I337" s="2"/>
      <c r="J337" s="2"/>
    </row>
    <row r="338" spans="1:10" x14ac:dyDescent="0.3">
      <c r="A338" s="1">
        <v>337</v>
      </c>
      <c r="B338" s="7" t="s">
        <v>1097</v>
      </c>
      <c r="C338" s="9" t="s">
        <v>1314</v>
      </c>
      <c r="D338" s="1" t="s">
        <v>1079</v>
      </c>
      <c r="E338" s="9" t="s">
        <v>1098</v>
      </c>
      <c r="F338" s="2"/>
      <c r="G338" s="1" t="s">
        <v>44</v>
      </c>
      <c r="H338" s="1" t="s">
        <v>45</v>
      </c>
      <c r="I338" s="2"/>
      <c r="J338" s="2"/>
    </row>
    <row r="339" spans="1:10" x14ac:dyDescent="0.3">
      <c r="A339" s="1">
        <v>338</v>
      </c>
      <c r="B339" s="7" t="s">
        <v>1099</v>
      </c>
      <c r="C339" s="9" t="s">
        <v>1314</v>
      </c>
      <c r="D339" s="1" t="s">
        <v>1079</v>
      </c>
      <c r="E339" s="9" t="s">
        <v>1100</v>
      </c>
      <c r="F339" s="2"/>
      <c r="G339" s="1" t="s">
        <v>49</v>
      </c>
      <c r="H339" s="1" t="s">
        <v>57</v>
      </c>
      <c r="I339" s="2"/>
      <c r="J339" s="2"/>
    </row>
    <row r="340" spans="1:10" x14ac:dyDescent="0.3">
      <c r="A340" s="1">
        <v>339</v>
      </c>
      <c r="B340" s="7" t="s">
        <v>1101</v>
      </c>
      <c r="C340" s="9" t="s">
        <v>1314</v>
      </c>
      <c r="D340" s="1" t="s">
        <v>1079</v>
      </c>
      <c r="E340" s="9" t="s">
        <v>961</v>
      </c>
      <c r="F340" s="2"/>
      <c r="G340" s="1" t="s">
        <v>40</v>
      </c>
      <c r="H340" s="1" t="s">
        <v>27</v>
      </c>
      <c r="I340" s="2"/>
      <c r="J340" s="2"/>
    </row>
    <row r="341" spans="1:10" x14ac:dyDescent="0.3">
      <c r="A341" s="1">
        <v>340</v>
      </c>
      <c r="B341" s="7" t="s">
        <v>1251</v>
      </c>
      <c r="C341" s="9" t="s">
        <v>1314</v>
      </c>
      <c r="D341" s="1" t="s">
        <v>1102</v>
      </c>
      <c r="E341" s="9" t="s">
        <v>1</v>
      </c>
      <c r="F341" s="2"/>
      <c r="G341" s="1" t="s">
        <v>3</v>
      </c>
      <c r="H341" s="1" t="s">
        <v>4</v>
      </c>
      <c r="I341" s="2"/>
      <c r="J341" s="2"/>
    </row>
    <row r="342" spans="1:10" x14ac:dyDescent="0.3">
      <c r="A342" s="1">
        <v>341</v>
      </c>
      <c r="B342" s="7" t="s">
        <v>1265</v>
      </c>
      <c r="C342" s="9" t="s">
        <v>1314</v>
      </c>
      <c r="D342" s="1" t="s">
        <v>1102</v>
      </c>
      <c r="E342" s="9" t="s">
        <v>6</v>
      </c>
      <c r="F342" s="2"/>
      <c r="G342" s="1" t="s">
        <v>3</v>
      </c>
      <c r="H342" s="1" t="s">
        <v>4</v>
      </c>
      <c r="I342" s="2"/>
      <c r="J342" s="2"/>
    </row>
    <row r="343" spans="1:10" x14ac:dyDescent="0.3">
      <c r="A343" s="1">
        <v>342</v>
      </c>
      <c r="B343" s="7" t="s">
        <v>944</v>
      </c>
      <c r="C343" s="9" t="s">
        <v>1314</v>
      </c>
      <c r="D343" s="1" t="s">
        <v>1102</v>
      </c>
      <c r="E343" s="9" t="s">
        <v>8</v>
      </c>
      <c r="F343" s="2"/>
      <c r="G343" s="1" t="s">
        <v>9</v>
      </c>
      <c r="H343" s="1" t="s">
        <v>10</v>
      </c>
      <c r="I343" s="2"/>
      <c r="J343" s="2"/>
    </row>
    <row r="344" spans="1:10" x14ac:dyDescent="0.3">
      <c r="A344" s="1">
        <v>343</v>
      </c>
      <c r="B344" s="7" t="s">
        <v>1080</v>
      </c>
      <c r="C344" s="9" t="s">
        <v>1314</v>
      </c>
      <c r="D344" s="1" t="s">
        <v>1102</v>
      </c>
      <c r="E344" s="9" t="s">
        <v>12</v>
      </c>
      <c r="F344" s="2"/>
      <c r="G344" s="1" t="s">
        <v>13</v>
      </c>
      <c r="H344" s="1" t="s">
        <v>14</v>
      </c>
      <c r="I344" s="2"/>
      <c r="J344" s="2"/>
    </row>
    <row r="345" spans="1:10" x14ac:dyDescent="0.3">
      <c r="A345" s="1">
        <v>344</v>
      </c>
      <c r="B345" s="7" t="s">
        <v>1081</v>
      </c>
      <c r="C345" s="9" t="s">
        <v>1314</v>
      </c>
      <c r="D345" s="1" t="s">
        <v>1102</v>
      </c>
      <c r="E345" s="9" t="s">
        <v>35</v>
      </c>
      <c r="F345" s="2"/>
      <c r="G345" s="1" t="s">
        <v>9</v>
      </c>
      <c r="H345" s="1" t="s">
        <v>30</v>
      </c>
      <c r="I345" s="2"/>
      <c r="J345" s="2"/>
    </row>
    <row r="346" spans="1:10" x14ac:dyDescent="0.3">
      <c r="A346" s="1">
        <v>345</v>
      </c>
      <c r="B346" s="7" t="s">
        <v>1082</v>
      </c>
      <c r="C346" s="9" t="s">
        <v>1314</v>
      </c>
      <c r="D346" s="1" t="s">
        <v>1102</v>
      </c>
      <c r="E346" s="9" t="s">
        <v>1083</v>
      </c>
      <c r="F346" s="2"/>
      <c r="G346" s="1" t="s">
        <v>9</v>
      </c>
      <c r="H346" s="1" t="s">
        <v>30</v>
      </c>
      <c r="I346" s="2"/>
      <c r="J346" s="2"/>
    </row>
    <row r="347" spans="1:10" x14ac:dyDescent="0.3">
      <c r="A347" s="1">
        <v>346</v>
      </c>
      <c r="B347" s="7" t="s">
        <v>1084</v>
      </c>
      <c r="C347" s="9" t="s">
        <v>1314</v>
      </c>
      <c r="D347" s="1" t="s">
        <v>1102</v>
      </c>
      <c r="E347" s="9" t="s">
        <v>1085</v>
      </c>
      <c r="F347" s="2"/>
      <c r="G347" s="1" t="s">
        <v>9</v>
      </c>
      <c r="H347" s="1" t="s">
        <v>30</v>
      </c>
      <c r="I347" s="2"/>
      <c r="J347" s="2"/>
    </row>
    <row r="348" spans="1:10" x14ac:dyDescent="0.3">
      <c r="A348" s="1">
        <v>347</v>
      </c>
      <c r="B348" s="7" t="s">
        <v>1266</v>
      </c>
      <c r="C348" s="9" t="s">
        <v>1314</v>
      </c>
      <c r="D348" s="1" t="s">
        <v>1102</v>
      </c>
      <c r="E348" s="9" t="s">
        <v>53</v>
      </c>
      <c r="F348" s="2"/>
      <c r="G348" s="1" t="s">
        <v>40</v>
      </c>
      <c r="H348" s="1" t="s">
        <v>27</v>
      </c>
      <c r="I348" s="2"/>
      <c r="J348" s="2"/>
    </row>
    <row r="349" spans="1:10" x14ac:dyDescent="0.3">
      <c r="A349" s="1">
        <v>348</v>
      </c>
      <c r="B349" s="7">
        <v>445120236</v>
      </c>
      <c r="C349" s="9" t="s">
        <v>1314</v>
      </c>
      <c r="D349" s="1" t="s">
        <v>1102</v>
      </c>
      <c r="E349" s="9" t="s">
        <v>1086</v>
      </c>
      <c r="F349" s="2"/>
      <c r="G349" s="1" t="s">
        <v>1087</v>
      </c>
      <c r="H349" s="1" t="s">
        <v>18</v>
      </c>
      <c r="I349" s="2"/>
      <c r="J349" s="2"/>
    </row>
    <row r="350" spans="1:10" x14ac:dyDescent="0.3">
      <c r="A350" s="1">
        <v>349</v>
      </c>
      <c r="B350" s="7" t="s">
        <v>1253</v>
      </c>
      <c r="C350" s="9" t="s">
        <v>1314</v>
      </c>
      <c r="D350" s="1" t="s">
        <v>1102</v>
      </c>
      <c r="E350" s="9" t="s">
        <v>1031</v>
      </c>
      <c r="F350" s="2"/>
      <c r="G350" s="1" t="s">
        <v>40</v>
      </c>
      <c r="H350" s="1" t="s">
        <v>55</v>
      </c>
      <c r="I350" s="2"/>
      <c r="J350" s="2"/>
    </row>
    <row r="351" spans="1:10" x14ac:dyDescent="0.3">
      <c r="A351" s="1">
        <v>350</v>
      </c>
      <c r="B351" s="7" t="s">
        <v>1254</v>
      </c>
      <c r="C351" s="9" t="s">
        <v>1314</v>
      </c>
      <c r="D351" s="1" t="s">
        <v>1102</v>
      </c>
      <c r="E351" s="9" t="s">
        <v>945</v>
      </c>
      <c r="F351" s="2"/>
      <c r="G351" s="1" t="s">
        <v>40</v>
      </c>
      <c r="H351" s="1" t="s">
        <v>55</v>
      </c>
      <c r="I351" s="2"/>
      <c r="J351" s="2"/>
    </row>
    <row r="352" spans="1:10" x14ac:dyDescent="0.3">
      <c r="A352" s="1">
        <v>351</v>
      </c>
      <c r="B352" s="7" t="s">
        <v>1255</v>
      </c>
      <c r="C352" s="9" t="s">
        <v>1314</v>
      </c>
      <c r="D352" s="1" t="s">
        <v>1102</v>
      </c>
      <c r="E352" s="9" t="s">
        <v>946</v>
      </c>
      <c r="F352" s="2"/>
      <c r="G352" s="1" t="s">
        <v>40</v>
      </c>
      <c r="H352" s="1" t="s">
        <v>55</v>
      </c>
      <c r="I352" s="2"/>
      <c r="J352" s="2"/>
    </row>
    <row r="353" spans="1:10" x14ac:dyDescent="0.3">
      <c r="A353" s="1">
        <v>352</v>
      </c>
      <c r="B353" s="7" t="s">
        <v>1103</v>
      </c>
      <c r="C353" s="9" t="s">
        <v>1314</v>
      </c>
      <c r="D353" s="1" t="s">
        <v>1102</v>
      </c>
      <c r="E353" s="9" t="s">
        <v>1032</v>
      </c>
      <c r="F353" s="2"/>
      <c r="G353" s="1" t="s">
        <v>26</v>
      </c>
      <c r="H353" s="1" t="s">
        <v>947</v>
      </c>
      <c r="I353" s="2"/>
      <c r="J353" s="2"/>
    </row>
    <row r="354" spans="1:10" x14ac:dyDescent="0.3">
      <c r="A354" s="1">
        <v>353</v>
      </c>
      <c r="B354" s="7" t="s">
        <v>1104</v>
      </c>
      <c r="C354" s="9" t="s">
        <v>1314</v>
      </c>
      <c r="D354" s="1" t="s">
        <v>1102</v>
      </c>
      <c r="E354" s="9" t="s">
        <v>948</v>
      </c>
      <c r="F354" s="2"/>
      <c r="G354" s="1" t="s">
        <v>26</v>
      </c>
      <c r="H354" s="1" t="s">
        <v>1091</v>
      </c>
      <c r="I354" s="2"/>
      <c r="J354" s="2"/>
    </row>
    <row r="355" spans="1:10" x14ac:dyDescent="0.3">
      <c r="A355" s="1">
        <v>354</v>
      </c>
      <c r="B355" s="7" t="s">
        <v>1256</v>
      </c>
      <c r="C355" s="9" t="s">
        <v>1314</v>
      </c>
      <c r="D355" s="1" t="s">
        <v>1102</v>
      </c>
      <c r="E355" s="9" t="s">
        <v>955</v>
      </c>
      <c r="F355" s="2"/>
      <c r="G355" s="1" t="s">
        <v>26</v>
      </c>
      <c r="H355" s="1" t="s">
        <v>50</v>
      </c>
      <c r="I355" s="2"/>
      <c r="J355" s="2"/>
    </row>
    <row r="356" spans="1:10" x14ac:dyDescent="0.3">
      <c r="A356" s="1">
        <v>355</v>
      </c>
      <c r="B356" s="7" t="s">
        <v>1036</v>
      </c>
      <c r="C356" s="9" t="s">
        <v>1314</v>
      </c>
      <c r="D356" s="1" t="s">
        <v>1102</v>
      </c>
      <c r="E356" s="9" t="s">
        <v>952</v>
      </c>
      <c r="F356" s="2"/>
      <c r="G356" s="1" t="s">
        <v>26</v>
      </c>
      <c r="H356" s="1" t="s">
        <v>22</v>
      </c>
      <c r="I356" s="2"/>
      <c r="J356" s="2"/>
    </row>
    <row r="357" spans="1:10" x14ac:dyDescent="0.3">
      <c r="A357" s="1">
        <v>356</v>
      </c>
      <c r="B357" s="7" t="s">
        <v>1037</v>
      </c>
      <c r="C357" s="9" t="s">
        <v>1314</v>
      </c>
      <c r="D357" s="1" t="s">
        <v>1102</v>
      </c>
      <c r="E357" s="9" t="s">
        <v>953</v>
      </c>
      <c r="F357" s="2"/>
      <c r="G357" s="1" t="s">
        <v>26</v>
      </c>
      <c r="H357" s="1" t="s">
        <v>50</v>
      </c>
      <c r="I357" s="2"/>
      <c r="J357" s="2"/>
    </row>
    <row r="358" spans="1:10" x14ac:dyDescent="0.3">
      <c r="A358" s="1">
        <v>357</v>
      </c>
      <c r="B358" s="7" t="s">
        <v>1095</v>
      </c>
      <c r="C358" s="9" t="s">
        <v>1314</v>
      </c>
      <c r="D358" s="1" t="s">
        <v>1102</v>
      </c>
      <c r="E358" s="9" t="s">
        <v>954</v>
      </c>
      <c r="F358" s="2"/>
      <c r="G358" s="1" t="s">
        <v>26</v>
      </c>
      <c r="H358" s="1" t="s">
        <v>50</v>
      </c>
      <c r="I358" s="2"/>
      <c r="J358" s="2"/>
    </row>
    <row r="359" spans="1:10" x14ac:dyDescent="0.3">
      <c r="A359" s="1">
        <v>358</v>
      </c>
      <c r="B359" s="7" t="s">
        <v>1038</v>
      </c>
      <c r="C359" s="9" t="s">
        <v>1314</v>
      </c>
      <c r="D359" s="1" t="s">
        <v>1102</v>
      </c>
      <c r="E359" s="9" t="s">
        <v>1039</v>
      </c>
      <c r="F359" s="2"/>
      <c r="G359" s="1" t="s">
        <v>26</v>
      </c>
      <c r="H359" s="1" t="s">
        <v>22</v>
      </c>
      <c r="I359" s="2"/>
      <c r="J359" s="2"/>
    </row>
    <row r="360" spans="1:10" x14ac:dyDescent="0.3">
      <c r="A360" s="1">
        <v>359</v>
      </c>
      <c r="B360" s="7" t="s">
        <v>1040</v>
      </c>
      <c r="C360" s="9" t="s">
        <v>1314</v>
      </c>
      <c r="D360" s="1" t="s">
        <v>1102</v>
      </c>
      <c r="E360" s="9" t="s">
        <v>23</v>
      </c>
      <c r="F360" s="2"/>
      <c r="G360" s="1" t="s">
        <v>3</v>
      </c>
      <c r="H360" s="1" t="s">
        <v>4</v>
      </c>
      <c r="I360" s="2"/>
      <c r="J360" s="2"/>
    </row>
    <row r="361" spans="1:10" x14ac:dyDescent="0.3">
      <c r="A361" s="1">
        <v>360</v>
      </c>
      <c r="B361" s="7" t="s">
        <v>1041</v>
      </c>
      <c r="C361" s="9" t="s">
        <v>1314</v>
      </c>
      <c r="D361" s="1" t="s">
        <v>1102</v>
      </c>
      <c r="E361" s="9" t="s">
        <v>32</v>
      </c>
      <c r="F361" s="2"/>
      <c r="G361" s="1" t="s">
        <v>33</v>
      </c>
      <c r="H361" s="1" t="s">
        <v>34</v>
      </c>
      <c r="I361" s="2"/>
      <c r="J361" s="2"/>
    </row>
    <row r="362" spans="1:10" x14ac:dyDescent="0.3">
      <c r="A362" s="1">
        <v>361</v>
      </c>
      <c r="B362" s="7" t="s">
        <v>36</v>
      </c>
      <c r="C362" s="9" t="s">
        <v>1314</v>
      </c>
      <c r="D362" s="1" t="s">
        <v>1102</v>
      </c>
      <c r="E362" s="9" t="s">
        <v>958</v>
      </c>
      <c r="F362" s="2"/>
      <c r="G362" s="1" t="s">
        <v>21</v>
      </c>
      <c r="H362" s="1" t="s">
        <v>22</v>
      </c>
      <c r="I362" s="2"/>
      <c r="J362" s="2"/>
    </row>
    <row r="363" spans="1:10" x14ac:dyDescent="0.3">
      <c r="A363" s="1">
        <v>362</v>
      </c>
      <c r="B363" s="7" t="s">
        <v>1097</v>
      </c>
      <c r="C363" s="9" t="s">
        <v>1314</v>
      </c>
      <c r="D363" s="1" t="s">
        <v>1102</v>
      </c>
      <c r="E363" s="9" t="s">
        <v>1105</v>
      </c>
      <c r="F363" s="2"/>
      <c r="G363" s="1" t="s">
        <v>44</v>
      </c>
      <c r="H363" s="1" t="s">
        <v>45</v>
      </c>
      <c r="I363" s="2"/>
      <c r="J363" s="2"/>
    </row>
    <row r="364" spans="1:10" x14ac:dyDescent="0.3">
      <c r="A364" s="1">
        <v>363</v>
      </c>
      <c r="B364" s="7" t="s">
        <v>1106</v>
      </c>
      <c r="C364" s="9" t="s">
        <v>1314</v>
      </c>
      <c r="D364" s="1" t="s">
        <v>1102</v>
      </c>
      <c r="E364" s="9" t="s">
        <v>1107</v>
      </c>
      <c r="F364" s="2"/>
      <c r="G364" s="1" t="s">
        <v>49</v>
      </c>
      <c r="H364" s="1" t="s">
        <v>57</v>
      </c>
      <c r="I364" s="2"/>
      <c r="J364" s="2"/>
    </row>
    <row r="365" spans="1:10" x14ac:dyDescent="0.3">
      <c r="A365" s="1">
        <v>364</v>
      </c>
      <c r="B365" s="7" t="s">
        <v>1267</v>
      </c>
      <c r="C365" s="9" t="s">
        <v>1314</v>
      </c>
      <c r="D365" s="1" t="s">
        <v>1102</v>
      </c>
      <c r="E365" s="9" t="s">
        <v>961</v>
      </c>
      <c r="F365" s="2"/>
      <c r="G365" s="1" t="s">
        <v>40</v>
      </c>
      <c r="H365" s="1" t="s">
        <v>27</v>
      </c>
      <c r="I365" s="2"/>
      <c r="J365" s="2"/>
    </row>
    <row r="366" spans="1:10" x14ac:dyDescent="0.3">
      <c r="A366" s="1">
        <v>365</v>
      </c>
      <c r="B366" s="7" t="s">
        <v>5</v>
      </c>
      <c r="C366" s="9" t="s">
        <v>1314</v>
      </c>
      <c r="D366" s="1" t="s">
        <v>1164</v>
      </c>
      <c r="E366" s="1" t="s">
        <v>6</v>
      </c>
      <c r="F366" s="2"/>
      <c r="G366" s="1" t="s">
        <v>3</v>
      </c>
      <c r="H366" s="1" t="s">
        <v>4</v>
      </c>
      <c r="I366" s="2"/>
      <c r="J366" s="2"/>
    </row>
    <row r="367" spans="1:10" x14ac:dyDescent="0.3">
      <c r="A367" s="1">
        <v>366</v>
      </c>
      <c r="B367" s="7" t="s">
        <v>0</v>
      </c>
      <c r="C367" s="9" t="s">
        <v>1314</v>
      </c>
      <c r="D367" s="1" t="s">
        <v>1164</v>
      </c>
      <c r="E367" s="1" t="s">
        <v>1</v>
      </c>
      <c r="F367" s="2"/>
      <c r="G367" s="1" t="s">
        <v>3</v>
      </c>
      <c r="H367" s="1" t="s">
        <v>4</v>
      </c>
      <c r="I367" s="2"/>
      <c r="J367" s="2"/>
    </row>
    <row r="368" spans="1:10" x14ac:dyDescent="0.3">
      <c r="A368" s="1">
        <v>367</v>
      </c>
      <c r="B368" s="7" t="s">
        <v>7</v>
      </c>
      <c r="C368" s="9" t="s">
        <v>1314</v>
      </c>
      <c r="D368" s="1" t="s">
        <v>1164</v>
      </c>
      <c r="E368" s="1" t="s">
        <v>8</v>
      </c>
      <c r="F368" s="2"/>
      <c r="G368" s="1" t="s">
        <v>9</v>
      </c>
      <c r="H368" s="1" t="s">
        <v>10</v>
      </c>
      <c r="I368" s="2"/>
      <c r="J368" s="2"/>
    </row>
    <row r="369" spans="1:10" x14ac:dyDescent="0.3">
      <c r="A369" s="1">
        <v>368</v>
      </c>
      <c r="B369" s="7" t="s">
        <v>11</v>
      </c>
      <c r="C369" s="9" t="s">
        <v>1314</v>
      </c>
      <c r="D369" s="1" t="s">
        <v>1164</v>
      </c>
      <c r="E369" s="1" t="s">
        <v>12</v>
      </c>
      <c r="F369" s="2"/>
      <c r="G369" s="1" t="s">
        <v>13</v>
      </c>
      <c r="H369" s="1" t="s">
        <v>14</v>
      </c>
      <c r="I369" s="2"/>
      <c r="J369" s="2"/>
    </row>
    <row r="370" spans="1:10" x14ac:dyDescent="0.3">
      <c r="A370" s="1">
        <v>369</v>
      </c>
      <c r="B370" s="7" t="s">
        <v>1270</v>
      </c>
      <c r="C370" s="9" t="s">
        <v>1314</v>
      </c>
      <c r="D370" s="1" t="s">
        <v>1164</v>
      </c>
      <c r="E370" s="1" t="s">
        <v>29</v>
      </c>
      <c r="F370" s="2"/>
      <c r="G370" s="1" t="s">
        <v>9</v>
      </c>
      <c r="H370" s="1" t="s">
        <v>30</v>
      </c>
      <c r="I370" s="2"/>
      <c r="J370" s="2"/>
    </row>
    <row r="371" spans="1:10" x14ac:dyDescent="0.3">
      <c r="A371" s="1">
        <v>370</v>
      </c>
      <c r="B371" s="7" t="s">
        <v>1165</v>
      </c>
      <c r="C371" s="9" t="s">
        <v>1314</v>
      </c>
      <c r="D371" s="1" t="s">
        <v>1164</v>
      </c>
      <c r="E371" s="1" t="s">
        <v>1166</v>
      </c>
      <c r="F371" s="2"/>
      <c r="G371" s="1" t="s">
        <v>9</v>
      </c>
      <c r="H371" s="1" t="s">
        <v>30</v>
      </c>
      <c r="I371" s="2"/>
      <c r="J371" s="2"/>
    </row>
    <row r="372" spans="1:10" x14ac:dyDescent="0.3">
      <c r="A372" s="1">
        <v>371</v>
      </c>
      <c r="B372" s="7" t="s">
        <v>1040</v>
      </c>
      <c r="C372" s="9" t="s">
        <v>1314</v>
      </c>
      <c r="D372" s="1" t="s">
        <v>1164</v>
      </c>
      <c r="E372" s="1" t="s">
        <v>23</v>
      </c>
      <c r="F372" s="2"/>
      <c r="G372" s="1" t="s">
        <v>3</v>
      </c>
      <c r="H372" s="1" t="s">
        <v>4</v>
      </c>
      <c r="I372" s="2"/>
      <c r="J372" s="2"/>
    </row>
    <row r="373" spans="1:10" x14ac:dyDescent="0.3">
      <c r="A373" s="1">
        <v>372</v>
      </c>
      <c r="B373" s="7" t="s">
        <v>1041</v>
      </c>
      <c r="C373" s="9" t="s">
        <v>1314</v>
      </c>
      <c r="D373" s="1" t="s">
        <v>1164</v>
      </c>
      <c r="E373" s="1" t="s">
        <v>32</v>
      </c>
      <c r="F373" s="2"/>
      <c r="G373" s="1" t="s">
        <v>33</v>
      </c>
      <c r="H373" s="1" t="s">
        <v>34</v>
      </c>
      <c r="I373" s="2"/>
      <c r="J373" s="2"/>
    </row>
    <row r="374" spans="1:10" x14ac:dyDescent="0.3">
      <c r="A374" s="1">
        <v>373</v>
      </c>
      <c r="B374" s="7" t="s">
        <v>36</v>
      </c>
      <c r="C374" s="9" t="s">
        <v>1314</v>
      </c>
      <c r="D374" s="1" t="s">
        <v>1164</v>
      </c>
      <c r="E374" s="1" t="s">
        <v>958</v>
      </c>
      <c r="F374" s="2"/>
      <c r="G374" s="1" t="s">
        <v>21</v>
      </c>
      <c r="H374" s="1" t="s">
        <v>22</v>
      </c>
      <c r="I374" s="2"/>
      <c r="J374" s="2"/>
    </row>
    <row r="375" spans="1:10" x14ac:dyDescent="0.3">
      <c r="A375" s="1">
        <v>374</v>
      </c>
      <c r="B375" s="7" t="s">
        <v>1167</v>
      </c>
      <c r="C375" s="9" t="s">
        <v>1314</v>
      </c>
      <c r="D375" s="1" t="s">
        <v>1164</v>
      </c>
      <c r="E375" s="1" t="s">
        <v>1271</v>
      </c>
      <c r="F375" s="2"/>
      <c r="G375" s="1" t="s">
        <v>26</v>
      </c>
      <c r="H375" s="1" t="s">
        <v>50</v>
      </c>
      <c r="I375" s="2"/>
      <c r="J375" s="2"/>
    </row>
    <row r="376" spans="1:10" x14ac:dyDescent="0.3">
      <c r="A376" s="1">
        <v>375</v>
      </c>
      <c r="B376" s="7" t="s">
        <v>1272</v>
      </c>
      <c r="C376" s="9" t="s">
        <v>1314</v>
      </c>
      <c r="D376" s="1" t="s">
        <v>1164</v>
      </c>
      <c r="E376" s="1" t="s">
        <v>952</v>
      </c>
      <c r="F376" s="2"/>
      <c r="G376" s="1" t="s">
        <v>26</v>
      </c>
      <c r="H376" s="1" t="s">
        <v>22</v>
      </c>
      <c r="I376" s="2"/>
      <c r="J376" s="2"/>
    </row>
    <row r="377" spans="1:10" x14ac:dyDescent="0.3">
      <c r="A377" s="1">
        <v>376</v>
      </c>
      <c r="B377" s="7" t="s">
        <v>1273</v>
      </c>
      <c r="C377" s="9" t="s">
        <v>1314</v>
      </c>
      <c r="D377" s="1" t="s">
        <v>1164</v>
      </c>
      <c r="E377" s="1" t="s">
        <v>953</v>
      </c>
      <c r="F377" s="2"/>
      <c r="G377" s="1" t="s">
        <v>26</v>
      </c>
      <c r="H377" s="1" t="s">
        <v>50</v>
      </c>
      <c r="I377" s="2"/>
      <c r="J377" s="2"/>
    </row>
    <row r="378" spans="1:10" x14ac:dyDescent="0.3">
      <c r="A378" s="1">
        <v>377</v>
      </c>
      <c r="B378" s="7" t="s">
        <v>1168</v>
      </c>
      <c r="C378" s="9" t="s">
        <v>1314</v>
      </c>
      <c r="D378" s="1" t="s">
        <v>1164</v>
      </c>
      <c r="E378" s="1" t="s">
        <v>954</v>
      </c>
      <c r="F378" s="2"/>
      <c r="G378" s="1" t="s">
        <v>26</v>
      </c>
      <c r="H378" s="1" t="s">
        <v>50</v>
      </c>
      <c r="I378" s="2"/>
      <c r="J378" s="2"/>
    </row>
    <row r="379" spans="1:10" x14ac:dyDescent="0.3">
      <c r="A379" s="1">
        <v>378</v>
      </c>
      <c r="B379" s="7" t="s">
        <v>1274</v>
      </c>
      <c r="C379" s="9" t="s">
        <v>1314</v>
      </c>
      <c r="D379" s="1" t="s">
        <v>1164</v>
      </c>
      <c r="E379" s="1" t="s">
        <v>1039</v>
      </c>
      <c r="F379" s="2"/>
      <c r="G379" s="1" t="s">
        <v>26</v>
      </c>
      <c r="H379" s="1" t="s">
        <v>22</v>
      </c>
      <c r="I379" s="2"/>
      <c r="J379" s="2"/>
    </row>
    <row r="380" spans="1:10" x14ac:dyDescent="0.3">
      <c r="A380" s="1">
        <v>379</v>
      </c>
      <c r="B380" s="7" t="s">
        <v>1169</v>
      </c>
      <c r="C380" s="9" t="s">
        <v>1314</v>
      </c>
      <c r="D380" s="1" t="s">
        <v>1164</v>
      </c>
      <c r="E380" s="1" t="s">
        <v>1170</v>
      </c>
      <c r="F380" s="2"/>
      <c r="G380" s="1" t="s">
        <v>26</v>
      </c>
      <c r="H380" s="1" t="s">
        <v>949</v>
      </c>
      <c r="I380" s="2"/>
      <c r="J380" s="2"/>
    </row>
    <row r="381" spans="1:10" x14ac:dyDescent="0.3">
      <c r="A381" s="1">
        <v>380</v>
      </c>
      <c r="B381" s="7" t="s">
        <v>1171</v>
      </c>
      <c r="C381" s="9" t="s">
        <v>1314</v>
      </c>
      <c r="D381" s="1" t="s">
        <v>1164</v>
      </c>
      <c r="E381" s="1" t="s">
        <v>1172</v>
      </c>
      <c r="F381" s="2"/>
      <c r="G381" s="1" t="s">
        <v>26</v>
      </c>
      <c r="H381" s="1" t="s">
        <v>949</v>
      </c>
      <c r="I381" s="2"/>
      <c r="J381" s="2"/>
    </row>
    <row r="382" spans="1:10" x14ac:dyDescent="0.3">
      <c r="A382" s="1">
        <v>381</v>
      </c>
      <c r="B382" s="7" t="s">
        <v>15</v>
      </c>
      <c r="C382" s="9" t="s">
        <v>1314</v>
      </c>
      <c r="D382" s="1" t="s">
        <v>1164</v>
      </c>
      <c r="E382" s="1" t="s">
        <v>16</v>
      </c>
      <c r="F382" s="2"/>
      <c r="G382" s="1" t="s">
        <v>1087</v>
      </c>
      <c r="H382" s="1" t="s">
        <v>18</v>
      </c>
      <c r="I382" s="2"/>
      <c r="J382" s="2"/>
    </row>
    <row r="383" spans="1:10" x14ac:dyDescent="0.3">
      <c r="A383" s="1">
        <v>382</v>
      </c>
      <c r="B383" s="7" t="s">
        <v>19</v>
      </c>
      <c r="C383" s="9" t="s">
        <v>1314</v>
      </c>
      <c r="D383" s="1" t="s">
        <v>1164</v>
      </c>
      <c r="E383" s="1" t="s">
        <v>20</v>
      </c>
      <c r="F383" s="2"/>
      <c r="G383" s="1" t="s">
        <v>21</v>
      </c>
      <c r="H383" s="1" t="s">
        <v>22</v>
      </c>
      <c r="I383" s="2"/>
      <c r="J383" s="2"/>
    </row>
    <row r="384" spans="1:10" x14ac:dyDescent="0.3">
      <c r="A384" s="1">
        <v>383</v>
      </c>
      <c r="B384" s="7" t="s">
        <v>1173</v>
      </c>
      <c r="C384" s="9" t="s">
        <v>1314</v>
      </c>
      <c r="D384" s="1" t="s">
        <v>1164</v>
      </c>
      <c r="E384" s="1" t="s">
        <v>48</v>
      </c>
      <c r="F384" s="2"/>
      <c r="G384" s="1" t="s">
        <v>21</v>
      </c>
      <c r="H384" s="1" t="s">
        <v>22</v>
      </c>
      <c r="I384" s="2"/>
      <c r="J384" s="2"/>
    </row>
    <row r="385" spans="1:10" x14ac:dyDescent="0.3">
      <c r="A385" s="1">
        <v>384</v>
      </c>
      <c r="B385" s="7" t="s">
        <v>1174</v>
      </c>
      <c r="C385" s="9" t="s">
        <v>1314</v>
      </c>
      <c r="D385" s="1" t="s">
        <v>1164</v>
      </c>
      <c r="E385" s="1" t="s">
        <v>962</v>
      </c>
      <c r="F385" s="2"/>
      <c r="G385" s="1" t="s">
        <v>40</v>
      </c>
      <c r="H385" s="1" t="s">
        <v>47</v>
      </c>
      <c r="I385" s="2"/>
      <c r="J385" s="2"/>
    </row>
    <row r="386" spans="1:10" x14ac:dyDescent="0.3">
      <c r="A386" s="1">
        <v>385</v>
      </c>
      <c r="B386" s="7" t="s">
        <v>1175</v>
      </c>
      <c r="C386" s="9" t="s">
        <v>1314</v>
      </c>
      <c r="D386" s="1" t="s">
        <v>1164</v>
      </c>
      <c r="E386" s="1" t="s">
        <v>960</v>
      </c>
      <c r="F386" s="2"/>
      <c r="G386" s="1" t="s">
        <v>40</v>
      </c>
      <c r="H386" s="1" t="s">
        <v>27</v>
      </c>
      <c r="I386" s="2"/>
      <c r="J386" s="2"/>
    </row>
    <row r="387" spans="1:10" x14ac:dyDescent="0.3">
      <c r="A387" s="1">
        <v>386</v>
      </c>
      <c r="B387" s="7" t="s">
        <v>1176</v>
      </c>
      <c r="C387" s="9" t="s">
        <v>1314</v>
      </c>
      <c r="D387" s="1" t="s">
        <v>1164</v>
      </c>
      <c r="E387" s="1" t="s">
        <v>961</v>
      </c>
      <c r="F387" s="2"/>
      <c r="G387" s="1" t="s">
        <v>40</v>
      </c>
      <c r="H387" s="1" t="s">
        <v>27</v>
      </c>
      <c r="I387" s="2"/>
      <c r="J387" s="2"/>
    </row>
    <row r="388" spans="1:10" x14ac:dyDescent="0.3">
      <c r="A388" s="1">
        <v>387</v>
      </c>
      <c r="B388" s="7" t="s">
        <v>42</v>
      </c>
      <c r="C388" s="9" t="s">
        <v>1314</v>
      </c>
      <c r="D388" s="1" t="s">
        <v>1164</v>
      </c>
      <c r="E388" s="1" t="s">
        <v>43</v>
      </c>
      <c r="F388" s="2"/>
      <c r="G388" s="1" t="s">
        <v>44</v>
      </c>
      <c r="H388" s="1" t="s">
        <v>45</v>
      </c>
      <c r="I388" s="2"/>
      <c r="J388" s="2"/>
    </row>
    <row r="389" spans="1:10" x14ac:dyDescent="0.3">
      <c r="A389" s="1">
        <v>388</v>
      </c>
      <c r="B389" s="7" t="s">
        <v>1177</v>
      </c>
      <c r="C389" s="9" t="s">
        <v>1314</v>
      </c>
      <c r="D389" s="1" t="s">
        <v>1164</v>
      </c>
      <c r="E389" s="1" t="s">
        <v>1121</v>
      </c>
      <c r="F389" s="2"/>
      <c r="G389" s="1" t="s">
        <v>49</v>
      </c>
      <c r="H389" s="1" t="s">
        <v>57</v>
      </c>
      <c r="I389" s="2"/>
      <c r="J389" s="2"/>
    </row>
    <row r="390" spans="1:10" x14ac:dyDescent="0.3">
      <c r="A390" s="1">
        <v>389</v>
      </c>
      <c r="B390" s="7" t="s">
        <v>1178</v>
      </c>
      <c r="C390" s="9" t="s">
        <v>1314</v>
      </c>
      <c r="D390" s="1" t="s">
        <v>1164</v>
      </c>
      <c r="E390" s="1" t="s">
        <v>37</v>
      </c>
      <c r="F390" s="2"/>
      <c r="G390" s="1" t="s">
        <v>959</v>
      </c>
      <c r="H390" s="1" t="s">
        <v>38</v>
      </c>
      <c r="I390" s="2"/>
      <c r="J390" s="2"/>
    </row>
    <row r="391" spans="1:10" x14ac:dyDescent="0.3">
      <c r="A391" s="1">
        <v>390</v>
      </c>
      <c r="B391" s="7" t="s">
        <v>5</v>
      </c>
      <c r="C391" s="9" t="s">
        <v>1314</v>
      </c>
      <c r="D391" s="1" t="s">
        <v>1179</v>
      </c>
      <c r="E391" s="1" t="s">
        <v>6</v>
      </c>
      <c r="F391" s="2"/>
      <c r="G391" s="1" t="s">
        <v>3</v>
      </c>
      <c r="H391" s="1" t="s">
        <v>4</v>
      </c>
      <c r="I391" s="2"/>
      <c r="J391" s="2"/>
    </row>
    <row r="392" spans="1:10" x14ac:dyDescent="0.3">
      <c r="A392" s="1">
        <v>391</v>
      </c>
      <c r="B392" s="7" t="s">
        <v>0</v>
      </c>
      <c r="C392" s="9" t="s">
        <v>1314</v>
      </c>
      <c r="D392" s="1" t="s">
        <v>1179</v>
      </c>
      <c r="E392" s="1" t="s">
        <v>1</v>
      </c>
      <c r="F392" s="2"/>
      <c r="G392" s="1" t="s">
        <v>3</v>
      </c>
      <c r="H392" s="1" t="s">
        <v>4</v>
      </c>
      <c r="I392" s="2"/>
      <c r="J392" s="2"/>
    </row>
    <row r="393" spans="1:10" x14ac:dyDescent="0.3">
      <c r="A393" s="1">
        <v>392</v>
      </c>
      <c r="B393" s="7" t="s">
        <v>7</v>
      </c>
      <c r="C393" s="9" t="s">
        <v>1314</v>
      </c>
      <c r="D393" s="1" t="s">
        <v>1179</v>
      </c>
      <c r="E393" s="1" t="s">
        <v>8</v>
      </c>
      <c r="F393" s="2"/>
      <c r="G393" s="1" t="s">
        <v>9</v>
      </c>
      <c r="H393" s="1" t="s">
        <v>10</v>
      </c>
      <c r="I393" s="2"/>
      <c r="J393" s="2"/>
    </row>
    <row r="394" spans="1:10" x14ac:dyDescent="0.3">
      <c r="A394" s="1">
        <v>393</v>
      </c>
      <c r="B394" s="7" t="s">
        <v>11</v>
      </c>
      <c r="C394" s="9" t="s">
        <v>1314</v>
      </c>
      <c r="D394" s="1" t="s">
        <v>1179</v>
      </c>
      <c r="E394" s="1" t="s">
        <v>12</v>
      </c>
      <c r="F394" s="2"/>
      <c r="G394" s="1" t="s">
        <v>13</v>
      </c>
      <c r="H394" s="1" t="s">
        <v>14</v>
      </c>
      <c r="I394" s="2"/>
      <c r="J394" s="2"/>
    </row>
    <row r="395" spans="1:10" x14ac:dyDescent="0.3">
      <c r="A395" s="1">
        <v>394</v>
      </c>
      <c r="B395" s="7" t="s">
        <v>1275</v>
      </c>
      <c r="C395" s="9" t="s">
        <v>1314</v>
      </c>
      <c r="D395" s="1" t="s">
        <v>1179</v>
      </c>
      <c r="E395" s="1" t="s">
        <v>1180</v>
      </c>
      <c r="F395" s="2"/>
      <c r="G395" s="1" t="s">
        <v>9</v>
      </c>
      <c r="H395" s="1" t="s">
        <v>30</v>
      </c>
      <c r="I395" s="2"/>
      <c r="J395" s="2"/>
    </row>
    <row r="396" spans="1:10" x14ac:dyDescent="0.3">
      <c r="A396" s="1">
        <v>395</v>
      </c>
      <c r="B396" s="7" t="s">
        <v>1181</v>
      </c>
      <c r="C396" s="9" t="s">
        <v>1314</v>
      </c>
      <c r="D396" s="1" t="s">
        <v>1179</v>
      </c>
      <c r="E396" s="1" t="s">
        <v>1134</v>
      </c>
      <c r="F396" s="2"/>
      <c r="G396" s="1" t="s">
        <v>9</v>
      </c>
      <c r="H396" s="1" t="s">
        <v>30</v>
      </c>
      <c r="I396" s="2"/>
      <c r="J396" s="2"/>
    </row>
    <row r="397" spans="1:10" x14ac:dyDescent="0.3">
      <c r="A397" s="1">
        <v>396</v>
      </c>
      <c r="B397" s="7" t="s">
        <v>1040</v>
      </c>
      <c r="C397" s="9" t="s">
        <v>1314</v>
      </c>
      <c r="D397" s="1" t="s">
        <v>1179</v>
      </c>
      <c r="E397" s="1" t="s">
        <v>23</v>
      </c>
      <c r="F397" s="2"/>
      <c r="G397" s="1" t="s">
        <v>3</v>
      </c>
      <c r="H397" s="1" t="s">
        <v>4</v>
      </c>
      <c r="I397" s="2"/>
      <c r="J397" s="2"/>
    </row>
    <row r="398" spans="1:10" x14ac:dyDescent="0.3">
      <c r="A398" s="1">
        <v>397</v>
      </c>
      <c r="B398" s="7" t="s">
        <v>1041</v>
      </c>
      <c r="C398" s="9" t="s">
        <v>1314</v>
      </c>
      <c r="D398" s="1" t="s">
        <v>1179</v>
      </c>
      <c r="E398" s="1" t="s">
        <v>32</v>
      </c>
      <c r="F398" s="2"/>
      <c r="G398" s="1" t="s">
        <v>33</v>
      </c>
      <c r="H398" s="1" t="s">
        <v>34</v>
      </c>
      <c r="I398" s="2"/>
      <c r="J398" s="2"/>
    </row>
    <row r="399" spans="1:10" x14ac:dyDescent="0.3">
      <c r="A399" s="1">
        <v>398</v>
      </c>
      <c r="B399" s="7" t="s">
        <v>36</v>
      </c>
      <c r="C399" s="9" t="s">
        <v>1314</v>
      </c>
      <c r="D399" s="1" t="s">
        <v>1179</v>
      </c>
      <c r="E399" s="1" t="s">
        <v>958</v>
      </c>
      <c r="F399" s="2"/>
      <c r="G399" s="1" t="s">
        <v>21</v>
      </c>
      <c r="H399" s="1" t="s">
        <v>22</v>
      </c>
      <c r="I399" s="2"/>
      <c r="J399" s="2"/>
    </row>
    <row r="400" spans="1:10" x14ac:dyDescent="0.3">
      <c r="A400" s="1">
        <v>399</v>
      </c>
      <c r="B400" s="7" t="s">
        <v>1182</v>
      </c>
      <c r="C400" s="9" t="s">
        <v>1314</v>
      </c>
      <c r="D400" s="1" t="s">
        <v>1179</v>
      </c>
      <c r="E400" s="1" t="s">
        <v>1032</v>
      </c>
      <c r="F400" s="2"/>
      <c r="G400" s="1" t="s">
        <v>26</v>
      </c>
      <c r="H400" s="1" t="s">
        <v>947</v>
      </c>
      <c r="I400" s="2"/>
      <c r="J400" s="2"/>
    </row>
    <row r="401" spans="1:10" x14ac:dyDescent="0.3">
      <c r="A401" s="1">
        <v>400</v>
      </c>
      <c r="B401" s="7" t="s">
        <v>1183</v>
      </c>
      <c r="C401" s="9" t="s">
        <v>1314</v>
      </c>
      <c r="D401" s="1" t="s">
        <v>1179</v>
      </c>
      <c r="E401" s="1" t="s">
        <v>948</v>
      </c>
      <c r="F401" s="2"/>
      <c r="G401" s="1" t="s">
        <v>26</v>
      </c>
      <c r="H401" s="1" t="s">
        <v>1091</v>
      </c>
      <c r="I401" s="2"/>
      <c r="J401" s="2"/>
    </row>
    <row r="402" spans="1:10" x14ac:dyDescent="0.3">
      <c r="A402" s="1">
        <v>401</v>
      </c>
      <c r="B402" s="7" t="s">
        <v>1184</v>
      </c>
      <c r="C402" s="9" t="s">
        <v>1314</v>
      </c>
      <c r="D402" s="1" t="s">
        <v>1179</v>
      </c>
      <c r="E402" s="1" t="s">
        <v>950</v>
      </c>
      <c r="F402" s="2"/>
      <c r="G402" s="1" t="s">
        <v>26</v>
      </c>
      <c r="H402" s="1" t="s">
        <v>949</v>
      </c>
      <c r="I402" s="2"/>
      <c r="J402" s="2"/>
    </row>
    <row r="403" spans="1:10" x14ac:dyDescent="0.3">
      <c r="A403" s="1">
        <v>402</v>
      </c>
      <c r="B403" s="7" t="s">
        <v>1185</v>
      </c>
      <c r="C403" s="9" t="s">
        <v>1314</v>
      </c>
      <c r="D403" s="1" t="s">
        <v>1179</v>
      </c>
      <c r="E403" s="1" t="s">
        <v>1186</v>
      </c>
      <c r="F403" s="2"/>
      <c r="G403" s="1" t="s">
        <v>26</v>
      </c>
      <c r="H403" s="1" t="s">
        <v>1091</v>
      </c>
      <c r="I403" s="2"/>
      <c r="J403" s="2"/>
    </row>
    <row r="404" spans="1:10" x14ac:dyDescent="0.3">
      <c r="A404" s="1">
        <v>403</v>
      </c>
      <c r="B404" s="7" t="s">
        <v>1187</v>
      </c>
      <c r="C404" s="9" t="s">
        <v>1314</v>
      </c>
      <c r="D404" s="1" t="s">
        <v>1179</v>
      </c>
      <c r="E404" s="1" t="s">
        <v>1188</v>
      </c>
      <c r="F404" s="2"/>
      <c r="G404" s="1" t="s">
        <v>1189</v>
      </c>
      <c r="H404" s="1" t="s">
        <v>22</v>
      </c>
      <c r="I404" s="2"/>
      <c r="J404" s="2"/>
    </row>
    <row r="405" spans="1:10" x14ac:dyDescent="0.3">
      <c r="A405" s="1">
        <v>404</v>
      </c>
      <c r="B405" s="7" t="s">
        <v>1190</v>
      </c>
      <c r="C405" s="9" t="s">
        <v>1314</v>
      </c>
      <c r="D405" s="1" t="s">
        <v>1179</v>
      </c>
      <c r="E405" s="1" t="s">
        <v>1191</v>
      </c>
      <c r="F405" s="2"/>
      <c r="G405" s="1" t="s">
        <v>970</v>
      </c>
      <c r="H405" s="1" t="s">
        <v>971</v>
      </c>
      <c r="I405" s="2"/>
      <c r="J405" s="2"/>
    </row>
    <row r="406" spans="1:10" x14ac:dyDescent="0.3">
      <c r="A406" s="1">
        <v>405</v>
      </c>
      <c r="B406" s="7" t="s">
        <v>1276</v>
      </c>
      <c r="C406" s="9" t="s">
        <v>1314</v>
      </c>
      <c r="D406" s="1" t="s">
        <v>1179</v>
      </c>
      <c r="E406" s="1" t="s">
        <v>1192</v>
      </c>
      <c r="F406" s="2"/>
      <c r="G406" s="1" t="s">
        <v>40</v>
      </c>
      <c r="H406" s="1" t="s">
        <v>55</v>
      </c>
      <c r="I406" s="2"/>
      <c r="J406" s="2"/>
    </row>
    <row r="407" spans="1:10" x14ac:dyDescent="0.3">
      <c r="A407" s="1">
        <v>406</v>
      </c>
      <c r="B407" s="7" t="s">
        <v>1277</v>
      </c>
      <c r="C407" s="9" t="s">
        <v>1314</v>
      </c>
      <c r="D407" s="1" t="s">
        <v>1179</v>
      </c>
      <c r="E407" s="1" t="s">
        <v>1193</v>
      </c>
      <c r="F407" s="2"/>
      <c r="G407" s="1" t="s">
        <v>40</v>
      </c>
      <c r="H407" s="1" t="s">
        <v>47</v>
      </c>
      <c r="I407" s="2"/>
      <c r="J407" s="2"/>
    </row>
    <row r="408" spans="1:10" x14ac:dyDescent="0.3">
      <c r="A408" s="1">
        <v>407</v>
      </c>
      <c r="B408" s="7" t="s">
        <v>1194</v>
      </c>
      <c r="C408" s="9" t="s">
        <v>1314</v>
      </c>
      <c r="D408" s="1" t="s">
        <v>1179</v>
      </c>
      <c r="E408" s="1" t="s">
        <v>1195</v>
      </c>
      <c r="F408" s="2"/>
      <c r="G408" s="1" t="s">
        <v>40</v>
      </c>
      <c r="H408" s="1" t="s">
        <v>55</v>
      </c>
      <c r="I408" s="2"/>
      <c r="J408" s="2"/>
    </row>
    <row r="409" spans="1:10" x14ac:dyDescent="0.3">
      <c r="A409" s="1">
        <v>408</v>
      </c>
      <c r="B409" s="7" t="s">
        <v>15</v>
      </c>
      <c r="C409" s="9" t="s">
        <v>1314</v>
      </c>
      <c r="D409" s="1" t="s">
        <v>1179</v>
      </c>
      <c r="E409" s="1" t="s">
        <v>16</v>
      </c>
      <c r="F409" s="2"/>
      <c r="G409" s="1" t="s">
        <v>1087</v>
      </c>
      <c r="H409" s="1" t="s">
        <v>18</v>
      </c>
      <c r="I409" s="2"/>
      <c r="J409" s="2"/>
    </row>
    <row r="410" spans="1:10" x14ac:dyDescent="0.3">
      <c r="A410" s="1">
        <v>409</v>
      </c>
      <c r="B410" s="7" t="s">
        <v>1196</v>
      </c>
      <c r="C410" s="9" t="s">
        <v>1314</v>
      </c>
      <c r="D410" s="1" t="s">
        <v>1179</v>
      </c>
      <c r="E410" s="1" t="s">
        <v>48</v>
      </c>
      <c r="F410" s="2"/>
      <c r="G410" s="1" t="s">
        <v>21</v>
      </c>
      <c r="H410" s="1" t="s">
        <v>22</v>
      </c>
      <c r="I410" s="2"/>
      <c r="J410" s="2"/>
    </row>
    <row r="411" spans="1:10" x14ac:dyDescent="0.3">
      <c r="A411" s="1">
        <v>410</v>
      </c>
      <c r="B411" s="7" t="s">
        <v>1197</v>
      </c>
      <c r="C411" s="9" t="s">
        <v>1314</v>
      </c>
      <c r="D411" s="1" t="s">
        <v>1179</v>
      </c>
      <c r="E411" s="1" t="s">
        <v>962</v>
      </c>
      <c r="F411" s="2"/>
      <c r="G411" s="1" t="s">
        <v>40</v>
      </c>
      <c r="H411" s="1" t="s">
        <v>47</v>
      </c>
      <c r="I411" s="2"/>
      <c r="J411" s="2"/>
    </row>
    <row r="412" spans="1:10" x14ac:dyDescent="0.3">
      <c r="A412" s="1">
        <v>411</v>
      </c>
      <c r="B412" s="7" t="s">
        <v>1198</v>
      </c>
      <c r="C412" s="9" t="s">
        <v>1314</v>
      </c>
      <c r="D412" s="1" t="s">
        <v>1179</v>
      </c>
      <c r="E412" s="1" t="s">
        <v>960</v>
      </c>
      <c r="F412" s="2"/>
      <c r="G412" s="1" t="s">
        <v>40</v>
      </c>
      <c r="H412" s="1" t="s">
        <v>27</v>
      </c>
      <c r="I412" s="2"/>
      <c r="J412" s="2"/>
    </row>
    <row r="413" spans="1:10" x14ac:dyDescent="0.3">
      <c r="A413" s="1">
        <v>412</v>
      </c>
      <c r="B413" s="7" t="s">
        <v>1199</v>
      </c>
      <c r="C413" s="9" t="s">
        <v>1314</v>
      </c>
      <c r="D413" s="1" t="s">
        <v>1179</v>
      </c>
      <c r="E413" s="1" t="s">
        <v>961</v>
      </c>
      <c r="F413" s="2"/>
      <c r="G413" s="1" t="s">
        <v>40</v>
      </c>
      <c r="H413" s="1" t="s">
        <v>27</v>
      </c>
      <c r="I413" s="2"/>
      <c r="J413" s="2"/>
    </row>
    <row r="414" spans="1:10" x14ac:dyDescent="0.3">
      <c r="A414" s="1">
        <v>413</v>
      </c>
      <c r="B414" s="7" t="s">
        <v>42</v>
      </c>
      <c r="C414" s="9" t="s">
        <v>1314</v>
      </c>
      <c r="D414" s="1" t="s">
        <v>1179</v>
      </c>
      <c r="E414" s="1" t="s">
        <v>43</v>
      </c>
      <c r="F414" s="2"/>
      <c r="G414" s="1" t="s">
        <v>44</v>
      </c>
      <c r="H414" s="1" t="s">
        <v>45</v>
      </c>
      <c r="I414" s="2"/>
      <c r="J414" s="2"/>
    </row>
    <row r="415" spans="1:10" x14ac:dyDescent="0.3">
      <c r="A415" s="1">
        <v>414</v>
      </c>
      <c r="B415" s="7" t="s">
        <v>1177</v>
      </c>
      <c r="C415" s="9" t="s">
        <v>1314</v>
      </c>
      <c r="D415" s="1" t="s">
        <v>1179</v>
      </c>
      <c r="E415" s="1" t="s">
        <v>1121</v>
      </c>
      <c r="F415" s="2"/>
      <c r="G415" s="1" t="s">
        <v>49</v>
      </c>
      <c r="H415" s="1" t="s">
        <v>57</v>
      </c>
      <c r="I415" s="2"/>
      <c r="J415" s="2"/>
    </row>
    <row r="416" spans="1:10" x14ac:dyDescent="0.3">
      <c r="A416" s="1">
        <v>415</v>
      </c>
      <c r="B416" s="7" t="s">
        <v>0</v>
      </c>
      <c r="C416" s="9" t="s">
        <v>1314</v>
      </c>
      <c r="D416" s="1" t="s">
        <v>1216</v>
      </c>
      <c r="E416" s="1" t="s">
        <v>1</v>
      </c>
      <c r="F416" s="2"/>
      <c r="G416" s="1" t="s">
        <v>3</v>
      </c>
      <c r="H416" s="1" t="s">
        <v>4</v>
      </c>
      <c r="I416" s="2"/>
      <c r="J416" s="2"/>
    </row>
    <row r="417" spans="1:10" x14ac:dyDescent="0.3">
      <c r="A417" s="1">
        <v>416</v>
      </c>
      <c r="B417" s="7" t="s">
        <v>5</v>
      </c>
      <c r="C417" s="9" t="s">
        <v>1314</v>
      </c>
      <c r="D417" s="1" t="s">
        <v>1216</v>
      </c>
      <c r="E417" s="1" t="s">
        <v>6</v>
      </c>
      <c r="F417" s="2"/>
      <c r="G417" s="1" t="s">
        <v>3</v>
      </c>
      <c r="H417" s="1" t="s">
        <v>4</v>
      </c>
      <c r="I417" s="2"/>
      <c r="J417" s="2"/>
    </row>
    <row r="418" spans="1:10" x14ac:dyDescent="0.3">
      <c r="A418" s="1">
        <v>417</v>
      </c>
      <c r="B418" s="7" t="s">
        <v>7</v>
      </c>
      <c r="C418" s="9" t="s">
        <v>1314</v>
      </c>
      <c r="D418" s="1" t="s">
        <v>1216</v>
      </c>
      <c r="E418" s="1" t="s">
        <v>8</v>
      </c>
      <c r="F418" s="2"/>
      <c r="G418" s="1" t="s">
        <v>9</v>
      </c>
      <c r="H418" s="1" t="s">
        <v>10</v>
      </c>
      <c r="I418" s="2"/>
      <c r="J418" s="2"/>
    </row>
    <row r="419" spans="1:10" x14ac:dyDescent="0.3">
      <c r="A419" s="1">
        <v>418</v>
      </c>
      <c r="B419" s="7" t="s">
        <v>11</v>
      </c>
      <c r="C419" s="9" t="s">
        <v>1314</v>
      </c>
      <c r="D419" s="1" t="s">
        <v>1216</v>
      </c>
      <c r="E419" s="1" t="s">
        <v>12</v>
      </c>
      <c r="F419" s="2"/>
      <c r="G419" s="1" t="s">
        <v>13</v>
      </c>
      <c r="H419" s="1" t="s">
        <v>14</v>
      </c>
      <c r="I419" s="2"/>
      <c r="J419" s="2"/>
    </row>
    <row r="420" spans="1:10" x14ac:dyDescent="0.3">
      <c r="A420" s="1">
        <v>419</v>
      </c>
      <c r="B420" s="7" t="s">
        <v>1250</v>
      </c>
      <c r="C420" s="9" t="s">
        <v>1314</v>
      </c>
      <c r="D420" s="1" t="s">
        <v>1216</v>
      </c>
      <c r="E420" s="1" t="s">
        <v>29</v>
      </c>
      <c r="F420" s="2"/>
      <c r="G420" s="1" t="s">
        <v>9</v>
      </c>
      <c r="H420" s="1" t="s">
        <v>30</v>
      </c>
      <c r="I420" s="2"/>
      <c r="J420" s="2"/>
    </row>
    <row r="421" spans="1:10" x14ac:dyDescent="0.3">
      <c r="A421" s="1">
        <v>420</v>
      </c>
      <c r="B421" s="7" t="s">
        <v>1217</v>
      </c>
      <c r="C421" s="9" t="s">
        <v>1314</v>
      </c>
      <c r="D421" s="1" t="s">
        <v>1216</v>
      </c>
      <c r="E421" s="1" t="s">
        <v>1218</v>
      </c>
      <c r="F421" s="2"/>
      <c r="G421" s="1" t="s">
        <v>9</v>
      </c>
      <c r="H421" s="1" t="s">
        <v>30</v>
      </c>
      <c r="I421" s="2"/>
      <c r="J421" s="2"/>
    </row>
    <row r="422" spans="1:10" x14ac:dyDescent="0.3">
      <c r="A422" s="1">
        <v>421</v>
      </c>
      <c r="B422" s="7" t="s">
        <v>1040</v>
      </c>
      <c r="C422" s="9" t="s">
        <v>1314</v>
      </c>
      <c r="D422" s="1" t="s">
        <v>1216</v>
      </c>
      <c r="E422" s="1" t="s">
        <v>23</v>
      </c>
      <c r="F422" s="2"/>
      <c r="G422" s="1" t="s">
        <v>3</v>
      </c>
      <c r="H422" s="1" t="s">
        <v>4</v>
      </c>
      <c r="I422" s="2"/>
      <c r="J422" s="2"/>
    </row>
    <row r="423" spans="1:10" x14ac:dyDescent="0.3">
      <c r="A423" s="1">
        <v>422</v>
      </c>
      <c r="B423" s="7" t="s">
        <v>1067</v>
      </c>
      <c r="C423" s="9" t="s">
        <v>1314</v>
      </c>
      <c r="D423" s="1" t="s">
        <v>1216</v>
      </c>
      <c r="E423" s="1" t="s">
        <v>1068</v>
      </c>
      <c r="F423" s="2"/>
      <c r="G423" s="1" t="s">
        <v>13</v>
      </c>
      <c r="H423" s="1" t="s">
        <v>14</v>
      </c>
      <c r="I423" s="2"/>
      <c r="J423" s="2"/>
    </row>
    <row r="424" spans="1:10" x14ac:dyDescent="0.3">
      <c r="A424" s="1">
        <v>423</v>
      </c>
      <c r="B424" s="7" t="s">
        <v>1042</v>
      </c>
      <c r="C424" s="9" t="s">
        <v>1314</v>
      </c>
      <c r="D424" s="1" t="s">
        <v>1216</v>
      </c>
      <c r="E424" s="1" t="s">
        <v>31</v>
      </c>
      <c r="F424" s="2"/>
      <c r="G424" s="1" t="s">
        <v>13</v>
      </c>
      <c r="H424" s="1" t="s">
        <v>14</v>
      </c>
      <c r="I424" s="2"/>
      <c r="J424" s="2"/>
    </row>
    <row r="425" spans="1:10" x14ac:dyDescent="0.3">
      <c r="A425" s="1">
        <v>424</v>
      </c>
      <c r="B425" s="7" t="s">
        <v>36</v>
      </c>
      <c r="C425" s="9" t="s">
        <v>1314</v>
      </c>
      <c r="D425" s="1" t="s">
        <v>1216</v>
      </c>
      <c r="E425" s="1" t="s">
        <v>958</v>
      </c>
      <c r="F425" s="2"/>
      <c r="G425" s="1" t="s">
        <v>21</v>
      </c>
      <c r="H425" s="1" t="s">
        <v>22</v>
      </c>
      <c r="I425" s="2"/>
      <c r="J425" s="2"/>
    </row>
    <row r="426" spans="1:10" x14ac:dyDescent="0.3">
      <c r="A426" s="1">
        <v>425</v>
      </c>
      <c r="B426" s="7" t="s">
        <v>1257</v>
      </c>
      <c r="C426" s="9" t="s">
        <v>1314</v>
      </c>
      <c r="D426" s="1" t="s">
        <v>1216</v>
      </c>
      <c r="E426" s="1" t="s">
        <v>25</v>
      </c>
      <c r="F426" s="2"/>
      <c r="G426" s="1" t="s">
        <v>26</v>
      </c>
      <c r="H426" s="1" t="s">
        <v>27</v>
      </c>
      <c r="I426" s="2"/>
      <c r="J426" s="2"/>
    </row>
    <row r="427" spans="1:10" x14ac:dyDescent="0.3">
      <c r="A427" s="1">
        <v>426</v>
      </c>
      <c r="B427" s="7" t="s">
        <v>1219</v>
      </c>
      <c r="C427" s="9" t="s">
        <v>1314</v>
      </c>
      <c r="D427" s="1" t="s">
        <v>1216</v>
      </c>
      <c r="E427" s="1" t="s">
        <v>1220</v>
      </c>
      <c r="F427" s="2"/>
      <c r="G427" s="1" t="s">
        <v>1189</v>
      </c>
      <c r="H427" s="1" t="s">
        <v>22</v>
      </c>
      <c r="I427" s="2"/>
      <c r="J427" s="2"/>
    </row>
    <row r="428" spans="1:10" x14ac:dyDescent="0.3">
      <c r="A428" s="1">
        <v>427</v>
      </c>
      <c r="B428" s="7" t="s">
        <v>1221</v>
      </c>
      <c r="C428" s="9" t="s">
        <v>1314</v>
      </c>
      <c r="D428" s="1" t="s">
        <v>1216</v>
      </c>
      <c r="E428" s="1" t="s">
        <v>1191</v>
      </c>
      <c r="F428" s="2"/>
      <c r="G428" s="1" t="s">
        <v>970</v>
      </c>
      <c r="H428" s="1" t="s">
        <v>971</v>
      </c>
      <c r="I428" s="2"/>
      <c r="J428" s="2"/>
    </row>
    <row r="429" spans="1:10" x14ac:dyDescent="0.3">
      <c r="A429" s="1">
        <v>428</v>
      </c>
      <c r="B429" s="7" t="s">
        <v>15</v>
      </c>
      <c r="C429" s="9" t="s">
        <v>1314</v>
      </c>
      <c r="D429" s="1" t="s">
        <v>1216</v>
      </c>
      <c r="E429" s="1" t="s">
        <v>16</v>
      </c>
      <c r="F429" s="2"/>
      <c r="G429" s="1" t="s">
        <v>1087</v>
      </c>
      <c r="H429" s="1" t="s">
        <v>18</v>
      </c>
      <c r="I429" s="2"/>
      <c r="J429" s="2"/>
    </row>
    <row r="430" spans="1:10" x14ac:dyDescent="0.3">
      <c r="A430" s="1">
        <v>429</v>
      </c>
      <c r="B430" s="7" t="s">
        <v>1078</v>
      </c>
      <c r="C430" s="9" t="s">
        <v>1314</v>
      </c>
      <c r="D430" s="1" t="s">
        <v>1216</v>
      </c>
      <c r="E430" s="1" t="s">
        <v>53</v>
      </c>
      <c r="F430" s="2"/>
      <c r="G430" s="1" t="s">
        <v>40</v>
      </c>
      <c r="H430" s="1" t="s">
        <v>27</v>
      </c>
      <c r="I430" s="2"/>
      <c r="J430" s="2"/>
    </row>
    <row r="431" spans="1:10" x14ac:dyDescent="0.3">
      <c r="A431" s="1">
        <v>430</v>
      </c>
      <c r="B431" s="7" t="s">
        <v>1295</v>
      </c>
      <c r="C431" s="9" t="s">
        <v>1314</v>
      </c>
      <c r="D431" s="1" t="s">
        <v>1216</v>
      </c>
      <c r="E431" s="1" t="s">
        <v>1192</v>
      </c>
      <c r="F431" s="2"/>
      <c r="G431" s="1" t="s">
        <v>40</v>
      </c>
      <c r="H431" s="1" t="s">
        <v>55</v>
      </c>
      <c r="I431" s="2"/>
      <c r="J431" s="2"/>
    </row>
    <row r="432" spans="1:10" x14ac:dyDescent="0.3">
      <c r="A432" s="1">
        <v>431</v>
      </c>
      <c r="B432" s="7" t="s">
        <v>1296</v>
      </c>
      <c r="C432" s="9" t="s">
        <v>1314</v>
      </c>
      <c r="D432" s="1" t="s">
        <v>1216</v>
      </c>
      <c r="E432" s="1" t="s">
        <v>1193</v>
      </c>
      <c r="F432" s="2"/>
      <c r="G432" s="1" t="s">
        <v>40</v>
      </c>
      <c r="H432" s="1" t="s">
        <v>47</v>
      </c>
      <c r="I432" s="2"/>
      <c r="J432" s="2"/>
    </row>
    <row r="433" spans="1:10" x14ac:dyDescent="0.3">
      <c r="A433" s="1">
        <v>432</v>
      </c>
      <c r="B433" s="7" t="s">
        <v>1297</v>
      </c>
      <c r="C433" s="9" t="s">
        <v>1314</v>
      </c>
      <c r="D433" s="1" t="s">
        <v>1216</v>
      </c>
      <c r="E433" s="1" t="s">
        <v>1222</v>
      </c>
      <c r="F433" s="2"/>
      <c r="G433" s="1" t="s">
        <v>49</v>
      </c>
      <c r="H433" s="1" t="s">
        <v>57</v>
      </c>
      <c r="I433" s="2"/>
      <c r="J433" s="2"/>
    </row>
    <row r="434" spans="1:10" x14ac:dyDescent="0.3">
      <c r="A434" s="1">
        <v>433</v>
      </c>
      <c r="B434" s="7" t="s">
        <v>1298</v>
      </c>
      <c r="C434" s="9" t="s">
        <v>1314</v>
      </c>
      <c r="D434" s="1" t="s">
        <v>1216</v>
      </c>
      <c r="E434" s="1" t="s">
        <v>48</v>
      </c>
      <c r="F434" s="2"/>
      <c r="G434" s="1" t="s">
        <v>21</v>
      </c>
      <c r="H434" s="1" t="s">
        <v>22</v>
      </c>
      <c r="I434" s="2"/>
      <c r="J434" s="2"/>
    </row>
    <row r="435" spans="1:10" x14ac:dyDescent="0.3">
      <c r="A435" s="1">
        <v>434</v>
      </c>
      <c r="B435" s="7" t="s">
        <v>1299</v>
      </c>
      <c r="C435" s="9" t="s">
        <v>1314</v>
      </c>
      <c r="D435" s="1" t="s">
        <v>1216</v>
      </c>
      <c r="E435" s="1" t="s">
        <v>962</v>
      </c>
      <c r="F435" s="2"/>
      <c r="G435" s="1" t="s">
        <v>40</v>
      </c>
      <c r="H435" s="1" t="s">
        <v>47</v>
      </c>
      <c r="I435" s="2"/>
      <c r="J435" s="2"/>
    </row>
    <row r="436" spans="1:10" x14ac:dyDescent="0.3">
      <c r="A436" s="1">
        <v>435</v>
      </c>
      <c r="B436" s="7" t="s">
        <v>1045</v>
      </c>
      <c r="C436" s="9" t="s">
        <v>1314</v>
      </c>
      <c r="D436" s="1" t="s">
        <v>1216</v>
      </c>
      <c r="E436" s="1" t="s">
        <v>39</v>
      </c>
      <c r="F436" s="2"/>
      <c r="G436" s="1" t="s">
        <v>40</v>
      </c>
      <c r="H436" s="1" t="s">
        <v>27</v>
      </c>
      <c r="I436" s="2"/>
      <c r="J436" s="2"/>
    </row>
    <row r="437" spans="1:10" x14ac:dyDescent="0.3">
      <c r="A437" s="1">
        <v>436</v>
      </c>
      <c r="B437" s="7" t="s">
        <v>1065</v>
      </c>
      <c r="C437" s="9" t="s">
        <v>1314</v>
      </c>
      <c r="D437" s="1" t="s">
        <v>1216</v>
      </c>
      <c r="E437" s="1" t="s">
        <v>961</v>
      </c>
      <c r="F437" s="2"/>
      <c r="G437" s="1" t="s">
        <v>40</v>
      </c>
      <c r="H437" s="1" t="s">
        <v>27</v>
      </c>
      <c r="I437" s="2"/>
      <c r="J437" s="2"/>
    </row>
    <row r="438" spans="1:10" x14ac:dyDescent="0.3">
      <c r="A438" s="1">
        <v>437</v>
      </c>
      <c r="B438" s="7" t="s">
        <v>42</v>
      </c>
      <c r="C438" s="9" t="s">
        <v>1314</v>
      </c>
      <c r="D438" s="1" t="s">
        <v>1216</v>
      </c>
      <c r="E438" s="1" t="s">
        <v>43</v>
      </c>
      <c r="F438" s="2"/>
      <c r="G438" s="1" t="s">
        <v>44</v>
      </c>
      <c r="H438" s="1" t="s">
        <v>45</v>
      </c>
      <c r="I438" s="2"/>
      <c r="J438" s="2"/>
    </row>
    <row r="439" spans="1:10" x14ac:dyDescent="0.3">
      <c r="A439" s="1">
        <v>438</v>
      </c>
      <c r="B439" s="7" t="s">
        <v>1300</v>
      </c>
      <c r="C439" s="9" t="s">
        <v>1314</v>
      </c>
      <c r="D439" s="1" t="s">
        <v>1216</v>
      </c>
      <c r="E439" s="1" t="s">
        <v>37</v>
      </c>
      <c r="F439" s="2"/>
      <c r="G439" s="1" t="s">
        <v>959</v>
      </c>
      <c r="H439" s="1" t="s">
        <v>38</v>
      </c>
      <c r="I439" s="2"/>
      <c r="J439" s="2"/>
    </row>
    <row r="440" spans="1:10" x14ac:dyDescent="0.3">
      <c r="A440" s="1">
        <v>439</v>
      </c>
      <c r="B440" s="7" t="s">
        <v>1060</v>
      </c>
      <c r="C440" s="9" t="s">
        <v>1314</v>
      </c>
      <c r="D440" s="1" t="s">
        <v>1216</v>
      </c>
      <c r="E440" s="1" t="s">
        <v>964</v>
      </c>
      <c r="F440" s="2"/>
      <c r="G440" s="1" t="s">
        <v>49</v>
      </c>
      <c r="H440" s="1" t="s">
        <v>27</v>
      </c>
      <c r="I440" s="2"/>
      <c r="J440" s="2"/>
    </row>
    <row r="441" spans="1:10" x14ac:dyDescent="0.3">
      <c r="A441" s="1">
        <v>440</v>
      </c>
      <c r="B441" s="7">
        <v>10021812</v>
      </c>
      <c r="C441" s="9" t="s">
        <v>1313</v>
      </c>
      <c r="D441" s="2"/>
      <c r="E441" s="9" t="s">
        <v>656</v>
      </c>
      <c r="F441" s="2">
        <v>1</v>
      </c>
      <c r="G441" s="9" t="s">
        <v>90</v>
      </c>
      <c r="H441" s="9" t="s">
        <v>657</v>
      </c>
      <c r="I441" s="2">
        <f>VLOOKUP(B441,'[1]FM MIX OSCAR'!$A:$I,8,0)</f>
        <v>821844.00000000012</v>
      </c>
      <c r="J441" s="2">
        <f>VLOOKUP(B441,'[1]FM MIX OSCAR'!$A:$I,9,0)</f>
        <v>1</v>
      </c>
    </row>
    <row r="442" spans="1:10" x14ac:dyDescent="0.3">
      <c r="A442" s="1">
        <v>441</v>
      </c>
      <c r="B442" s="7">
        <v>10208355</v>
      </c>
      <c r="C442" s="9" t="s">
        <v>1313</v>
      </c>
      <c r="D442" s="2"/>
      <c r="E442" s="9" t="s">
        <v>931</v>
      </c>
      <c r="F442" s="2">
        <v>1</v>
      </c>
      <c r="G442" s="9" t="s">
        <v>90</v>
      </c>
      <c r="H442" s="9" t="s">
        <v>932</v>
      </c>
      <c r="I442" s="2">
        <f>VLOOKUP(B442,'[1]FM MIX OSCAR'!$A:$I,8,0)</f>
        <v>6660.0000000000009</v>
      </c>
      <c r="J442" s="2">
        <f>VLOOKUP(B442,'[1]FM MIX OSCAR'!$A:$I,9,0)</f>
        <v>1</v>
      </c>
    </row>
    <row r="443" spans="1:10" x14ac:dyDescent="0.3">
      <c r="A443" s="1">
        <v>442</v>
      </c>
      <c r="B443" s="7">
        <v>10252432</v>
      </c>
      <c r="C443" s="9" t="s">
        <v>1313</v>
      </c>
      <c r="D443" s="2"/>
      <c r="E443" s="9" t="s">
        <v>567</v>
      </c>
      <c r="F443" s="2">
        <v>1</v>
      </c>
      <c r="G443" s="9" t="s">
        <v>90</v>
      </c>
      <c r="H443" s="9" t="s">
        <v>568</v>
      </c>
      <c r="I443" s="2">
        <f>VLOOKUP(B443,'[1]FM MIX OSCAR'!$A:$I,8,0)</f>
        <v>14229756</v>
      </c>
      <c r="J443" s="2"/>
    </row>
    <row r="444" spans="1:10" x14ac:dyDescent="0.3">
      <c r="A444" s="1">
        <v>443</v>
      </c>
      <c r="B444" s="7">
        <v>10504472</v>
      </c>
      <c r="C444" s="9" t="s">
        <v>1313</v>
      </c>
      <c r="D444" s="2"/>
      <c r="E444" s="9" t="s">
        <v>490</v>
      </c>
      <c r="F444" s="2">
        <v>1</v>
      </c>
      <c r="G444" s="9" t="s">
        <v>69</v>
      </c>
      <c r="H444" s="9" t="s">
        <v>359</v>
      </c>
      <c r="I444" s="2">
        <f>VLOOKUP(B444,'[1]FM MIX OSCAR'!$A:$I,8,0)</f>
        <v>71163432</v>
      </c>
      <c r="J444" s="2"/>
    </row>
    <row r="445" spans="1:10" x14ac:dyDescent="0.3">
      <c r="A445" s="1">
        <v>444</v>
      </c>
      <c r="B445" s="7">
        <v>10504474</v>
      </c>
      <c r="C445" s="9" t="s">
        <v>1313</v>
      </c>
      <c r="D445" s="2"/>
      <c r="E445" s="9" t="s">
        <v>491</v>
      </c>
      <c r="F445" s="2">
        <v>1</v>
      </c>
      <c r="G445" s="9" t="s">
        <v>90</v>
      </c>
      <c r="H445" s="9" t="s">
        <v>492</v>
      </c>
      <c r="I445" s="2">
        <f>VLOOKUP(B445,'[1]FM MIX OSCAR'!$A:$I,8,0)</f>
        <v>2069928</v>
      </c>
      <c r="J445" s="2">
        <f>VLOOKUP(B445,'[1]FM MIX OSCAR'!$A:$I,9,0)</f>
        <v>14</v>
      </c>
    </row>
    <row r="446" spans="1:10" x14ac:dyDescent="0.3">
      <c r="A446" s="1">
        <v>445</v>
      </c>
      <c r="B446" s="7">
        <v>10504476</v>
      </c>
      <c r="C446" s="9" t="s">
        <v>1313</v>
      </c>
      <c r="D446" s="2"/>
      <c r="E446" s="9" t="s">
        <v>491</v>
      </c>
      <c r="F446" s="2">
        <v>1</v>
      </c>
      <c r="G446" s="9" t="s">
        <v>90</v>
      </c>
      <c r="H446" s="9" t="s">
        <v>492</v>
      </c>
      <c r="I446" s="2">
        <f>VLOOKUP(B446,'[1]FM MIX OSCAR'!$A:$I,8,0)</f>
        <v>7207452.0000000009</v>
      </c>
      <c r="J446" s="2">
        <f>VLOOKUP(B446,'[1]FM MIX OSCAR'!$A:$I,9,0)</f>
        <v>12</v>
      </c>
    </row>
    <row r="447" spans="1:10" x14ac:dyDescent="0.3">
      <c r="A447" s="1">
        <v>446</v>
      </c>
      <c r="B447" s="7">
        <v>10694157</v>
      </c>
      <c r="C447" s="9" t="s">
        <v>1313</v>
      </c>
      <c r="D447" s="2"/>
      <c r="E447" s="9" t="s">
        <v>544</v>
      </c>
      <c r="F447" s="2">
        <v>4</v>
      </c>
      <c r="G447" s="9" t="s">
        <v>90</v>
      </c>
      <c r="H447" s="9" t="s">
        <v>545</v>
      </c>
      <c r="I447" s="2">
        <f>VLOOKUP(B447,'[1]FM MIX OSCAR'!$A:$I,8,0)</f>
        <v>145188</v>
      </c>
      <c r="J447" s="2"/>
    </row>
    <row r="448" spans="1:10" x14ac:dyDescent="0.3">
      <c r="A448" s="1">
        <v>447</v>
      </c>
      <c r="B448" s="7">
        <v>10700960</v>
      </c>
      <c r="C448" s="9" t="s">
        <v>1313</v>
      </c>
      <c r="D448" s="2"/>
      <c r="E448" s="9" t="s">
        <v>145</v>
      </c>
      <c r="F448" s="2">
        <v>4</v>
      </c>
      <c r="G448" s="9" t="s">
        <v>84</v>
      </c>
      <c r="H448" s="9" t="s">
        <v>146</v>
      </c>
      <c r="I448" s="2">
        <f>VLOOKUP(B448,'[1]FM MIX OSCAR'!$A:$I,8,0)</f>
        <v>30636</v>
      </c>
      <c r="J448" s="2"/>
    </row>
    <row r="449" spans="1:10" x14ac:dyDescent="0.3">
      <c r="A449" s="1">
        <v>448</v>
      </c>
      <c r="B449" s="7">
        <v>10938393</v>
      </c>
      <c r="C449" s="9" t="s">
        <v>1313</v>
      </c>
      <c r="D449" s="2"/>
      <c r="E449" s="9" t="s">
        <v>933</v>
      </c>
      <c r="F449" s="2">
        <v>1</v>
      </c>
      <c r="G449" s="9" t="s">
        <v>90</v>
      </c>
      <c r="H449" s="9" t="s">
        <v>934</v>
      </c>
      <c r="I449" s="2">
        <f>VLOOKUP(B449,'[1]FM MIX OSCAR'!$A:$I,8,0)</f>
        <v>2664</v>
      </c>
      <c r="J449" s="2">
        <f>VLOOKUP(B449,'[1]FM MIX OSCAR'!$A:$I,9,0)</f>
        <v>1</v>
      </c>
    </row>
    <row r="450" spans="1:10" x14ac:dyDescent="0.3">
      <c r="A450" s="1">
        <v>449</v>
      </c>
      <c r="B450" s="7">
        <v>10943554</v>
      </c>
      <c r="C450" s="9" t="s">
        <v>1313</v>
      </c>
      <c r="D450" s="2"/>
      <c r="E450" s="9" t="s">
        <v>603</v>
      </c>
      <c r="F450" s="2">
        <v>2</v>
      </c>
      <c r="G450" s="9" t="s">
        <v>90</v>
      </c>
      <c r="H450" s="9" t="s">
        <v>604</v>
      </c>
      <c r="I450" s="2">
        <f>VLOOKUP(B450,'[1]FM MIX OSCAR'!$A:$I,8,0)</f>
        <v>230436</v>
      </c>
      <c r="J450" s="2"/>
    </row>
    <row r="451" spans="1:10" x14ac:dyDescent="0.3">
      <c r="A451" s="1">
        <v>450</v>
      </c>
      <c r="B451" s="7">
        <v>11033444</v>
      </c>
      <c r="C451" s="9" t="s">
        <v>1313</v>
      </c>
      <c r="D451" s="2"/>
      <c r="E451" s="9" t="s">
        <v>726</v>
      </c>
      <c r="F451" s="2">
        <v>1</v>
      </c>
      <c r="G451" s="9" t="s">
        <v>90</v>
      </c>
      <c r="H451" s="9" t="s">
        <v>727</v>
      </c>
      <c r="I451" s="2">
        <f>VLOOKUP(B451,'[1]FM MIX OSCAR'!$A:$I,8,0)</f>
        <v>49284</v>
      </c>
      <c r="J451" s="2"/>
    </row>
    <row r="452" spans="1:10" x14ac:dyDescent="0.3">
      <c r="A452" s="1">
        <v>451</v>
      </c>
      <c r="B452" s="7">
        <v>11508145</v>
      </c>
      <c r="C452" s="9" t="s">
        <v>1313</v>
      </c>
      <c r="D452" s="2"/>
      <c r="E452" s="9" t="s">
        <v>527</v>
      </c>
      <c r="F452" s="2">
        <v>2</v>
      </c>
      <c r="G452" s="9" t="s">
        <v>90</v>
      </c>
      <c r="H452" s="9" t="s">
        <v>528</v>
      </c>
      <c r="I452" s="2">
        <f>VLOOKUP(B452,'[1]FM MIX OSCAR'!$A:$I,8,0)</f>
        <v>36126504</v>
      </c>
      <c r="J452" s="2">
        <f>VLOOKUP(B452,'[1]FM MIX OSCAR'!$A:$I,9,0)</f>
        <v>2</v>
      </c>
    </row>
    <row r="453" spans="1:10" x14ac:dyDescent="0.3">
      <c r="A453" s="1">
        <v>452</v>
      </c>
      <c r="B453" s="7">
        <v>11576509</v>
      </c>
      <c r="C453" s="9" t="s">
        <v>1313</v>
      </c>
      <c r="D453" s="2"/>
      <c r="E453" s="9" t="s">
        <v>489</v>
      </c>
      <c r="F453" s="2">
        <v>1</v>
      </c>
      <c r="G453" s="9" t="s">
        <v>84</v>
      </c>
      <c r="H453" s="9" t="s">
        <v>489</v>
      </c>
      <c r="I453" s="2">
        <f>VLOOKUP(B453,'[1]FM MIX OSCAR'!$A:$I,8,0)</f>
        <v>303696</v>
      </c>
      <c r="J453" s="2">
        <f>VLOOKUP(B453,'[1]FM MIX OSCAR'!$A:$I,9,0)</f>
        <v>16</v>
      </c>
    </row>
    <row r="454" spans="1:10" x14ac:dyDescent="0.3">
      <c r="A454" s="1">
        <v>453</v>
      </c>
      <c r="B454" s="7">
        <v>11602618</v>
      </c>
      <c r="C454" s="9" t="s">
        <v>1313</v>
      </c>
      <c r="D454" s="2"/>
      <c r="E454" s="9" t="s">
        <v>25</v>
      </c>
      <c r="F454" s="2">
        <v>1</v>
      </c>
      <c r="G454" s="9" t="s">
        <v>90</v>
      </c>
      <c r="H454" s="9" t="s">
        <v>563</v>
      </c>
      <c r="I454" s="2">
        <f>VLOOKUP(B454,'[1]FM MIX OSCAR'!$A:$I,8,0)</f>
        <v>17009640</v>
      </c>
      <c r="J454" s="2">
        <f>VLOOKUP(B454,'[1]FM MIX OSCAR'!$A:$I,9,0)</f>
        <v>6</v>
      </c>
    </row>
    <row r="455" spans="1:10" x14ac:dyDescent="0.3">
      <c r="A455" s="1">
        <v>454</v>
      </c>
      <c r="B455" s="7">
        <v>11822273</v>
      </c>
      <c r="C455" s="9" t="s">
        <v>1313</v>
      </c>
      <c r="D455" s="2"/>
      <c r="E455" s="9" t="s">
        <v>724</v>
      </c>
      <c r="F455" s="2">
        <v>1</v>
      </c>
      <c r="G455" s="9" t="s">
        <v>167</v>
      </c>
      <c r="H455" s="9" t="s">
        <v>725</v>
      </c>
      <c r="I455" s="2">
        <f>VLOOKUP(B455,'[1]FM MIX OSCAR'!$A:$I,8,0)</f>
        <v>21312</v>
      </c>
      <c r="J455" s="2"/>
    </row>
    <row r="456" spans="1:10" x14ac:dyDescent="0.3">
      <c r="A456" s="1">
        <v>455</v>
      </c>
      <c r="B456" s="7">
        <v>12171757</v>
      </c>
      <c r="C456" s="9" t="s">
        <v>1313</v>
      </c>
      <c r="D456" s="2"/>
      <c r="E456" s="9" t="s">
        <v>145</v>
      </c>
      <c r="F456" s="2">
        <v>4</v>
      </c>
      <c r="G456" s="9" t="s">
        <v>84</v>
      </c>
      <c r="H456" s="9" t="s">
        <v>145</v>
      </c>
      <c r="I456" s="2">
        <f>VLOOKUP(B456,'[1]FM MIX OSCAR'!$A:$I,8,0)</f>
        <v>475524.00000000012</v>
      </c>
      <c r="J456" s="2"/>
    </row>
    <row r="457" spans="1:10" x14ac:dyDescent="0.3">
      <c r="A457" s="1">
        <v>456</v>
      </c>
      <c r="B457" s="7">
        <v>12690092</v>
      </c>
      <c r="C457" s="9" t="s">
        <v>1313</v>
      </c>
      <c r="D457" s="2"/>
      <c r="E457" s="9" t="s">
        <v>424</v>
      </c>
      <c r="F457" s="2">
        <v>1</v>
      </c>
      <c r="G457" s="9" t="s">
        <v>90</v>
      </c>
      <c r="H457" s="9" t="s">
        <v>238</v>
      </c>
      <c r="I457" s="2">
        <f>VLOOKUP(B457,'[1]FM MIX OSCAR'!$A:$I,8,0)</f>
        <v>141919272</v>
      </c>
      <c r="J457" s="2"/>
    </row>
    <row r="458" spans="1:10" x14ac:dyDescent="0.3">
      <c r="A458" s="1">
        <v>457</v>
      </c>
      <c r="B458" s="7">
        <v>13237479</v>
      </c>
      <c r="C458" s="9" t="s">
        <v>1313</v>
      </c>
      <c r="D458" s="2"/>
      <c r="E458" s="9" t="s">
        <v>714</v>
      </c>
      <c r="F458" s="2">
        <v>1</v>
      </c>
      <c r="G458" s="9" t="s">
        <v>90</v>
      </c>
      <c r="H458" s="9" t="s">
        <v>715</v>
      </c>
      <c r="I458" s="2">
        <f>VLOOKUP(B458,'[1]FM MIX OSCAR'!$A:$I,8,0)</f>
        <v>5192136</v>
      </c>
      <c r="J458" s="2"/>
    </row>
    <row r="459" spans="1:10" x14ac:dyDescent="0.3">
      <c r="A459" s="1">
        <v>458</v>
      </c>
      <c r="B459" s="7">
        <v>13283896</v>
      </c>
      <c r="C459" s="9" t="s">
        <v>1313</v>
      </c>
      <c r="D459" s="2"/>
      <c r="E459" s="9" t="s">
        <v>820</v>
      </c>
      <c r="F459" s="2">
        <v>1</v>
      </c>
      <c r="G459" s="9" t="s">
        <v>90</v>
      </c>
      <c r="H459" s="9" t="s">
        <v>821</v>
      </c>
      <c r="I459" s="2">
        <f>VLOOKUP(B459,'[1]FM MIX OSCAR'!$A:$I,8,0)</f>
        <v>17316</v>
      </c>
      <c r="J459" s="2"/>
    </row>
    <row r="460" spans="1:10" x14ac:dyDescent="0.3">
      <c r="A460" s="1">
        <v>459</v>
      </c>
      <c r="B460" s="7">
        <v>13981412</v>
      </c>
      <c r="C460" s="9" t="s">
        <v>1313</v>
      </c>
      <c r="D460" s="2"/>
      <c r="E460" s="9" t="s">
        <v>908</v>
      </c>
      <c r="F460" s="2">
        <v>1</v>
      </c>
      <c r="G460" s="9" t="s">
        <v>90</v>
      </c>
      <c r="H460" s="9" t="s">
        <v>909</v>
      </c>
      <c r="I460" s="2">
        <f>VLOOKUP(B460,'[1]FM MIX OSCAR'!$A:$I,8,0)</f>
        <v>535464</v>
      </c>
      <c r="J460" s="2">
        <f>VLOOKUP(B460,'[1]FM MIX OSCAR'!$A:$I,9,0)</f>
        <v>10</v>
      </c>
    </row>
    <row r="461" spans="1:10" x14ac:dyDescent="0.3">
      <c r="A461" s="1">
        <v>460</v>
      </c>
      <c r="B461" s="7">
        <v>14008121</v>
      </c>
      <c r="C461" s="9" t="s">
        <v>1313</v>
      </c>
      <c r="D461" s="2"/>
      <c r="E461" s="9" t="s">
        <v>935</v>
      </c>
      <c r="F461" s="2">
        <v>1</v>
      </c>
      <c r="G461" s="9" t="s">
        <v>90</v>
      </c>
      <c r="H461" s="9" t="s">
        <v>936</v>
      </c>
      <c r="I461" s="2">
        <f>VLOOKUP(B461,'[1]FM MIX OSCAR'!$A:$I,8,0)</f>
        <v>2664</v>
      </c>
      <c r="J461" s="2"/>
    </row>
    <row r="462" spans="1:10" x14ac:dyDescent="0.3">
      <c r="A462" s="1">
        <v>461</v>
      </c>
      <c r="B462" s="7">
        <v>14194190</v>
      </c>
      <c r="C462" s="9" t="s">
        <v>1313</v>
      </c>
      <c r="D462" s="2"/>
      <c r="E462" s="9" t="s">
        <v>541</v>
      </c>
      <c r="F462" s="2">
        <v>1</v>
      </c>
      <c r="G462" s="9" t="s">
        <v>84</v>
      </c>
      <c r="H462" s="9" t="s">
        <v>542</v>
      </c>
      <c r="I462" s="2">
        <f>VLOOKUP(B462,'[1]FM MIX OSCAR'!$A:$I,8,0)</f>
        <v>145188</v>
      </c>
      <c r="J462" s="2">
        <f>VLOOKUP(B462,'[1]FM MIX OSCAR'!$A:$I,9,0)</f>
        <v>462</v>
      </c>
    </row>
    <row r="463" spans="1:10" x14ac:dyDescent="0.3">
      <c r="A463" s="1">
        <v>462</v>
      </c>
      <c r="B463" s="7">
        <v>14202655</v>
      </c>
      <c r="C463" s="9" t="s">
        <v>1313</v>
      </c>
      <c r="D463" s="2"/>
      <c r="E463" s="9" t="s">
        <v>543</v>
      </c>
      <c r="F463" s="2">
        <v>4</v>
      </c>
      <c r="G463" s="9" t="s">
        <v>84</v>
      </c>
      <c r="H463" s="9" t="s">
        <v>145</v>
      </c>
      <c r="I463" s="2">
        <f>VLOOKUP(B463,'[1]FM MIX OSCAR'!$A:$I,8,0)</f>
        <v>111888</v>
      </c>
      <c r="J463" s="2">
        <f>VLOOKUP(B463,'[1]FM MIX OSCAR'!$A:$I,9,0)</f>
        <v>28</v>
      </c>
    </row>
    <row r="464" spans="1:10" x14ac:dyDescent="0.3">
      <c r="A464" s="1">
        <v>463</v>
      </c>
      <c r="B464" s="7">
        <v>14333849</v>
      </c>
      <c r="C464" s="9" t="s">
        <v>1313</v>
      </c>
      <c r="D464" s="2"/>
      <c r="E464" s="9" t="s">
        <v>375</v>
      </c>
      <c r="F464" s="2">
        <v>2</v>
      </c>
      <c r="G464" s="9" t="s">
        <v>90</v>
      </c>
      <c r="H464" s="9" t="s">
        <v>235</v>
      </c>
      <c r="I464" s="2">
        <f>VLOOKUP(B464,'[1]FM MIX OSCAR'!$A:$I,8,0)</f>
        <v>48344940</v>
      </c>
      <c r="J464" s="2">
        <f>VLOOKUP(B464,'[1]FM MIX OSCAR'!$A:$I,9,0)</f>
        <v>22</v>
      </c>
    </row>
    <row r="465" spans="1:10" x14ac:dyDescent="0.3">
      <c r="A465" s="1">
        <v>464</v>
      </c>
      <c r="B465" s="7">
        <v>14467551</v>
      </c>
      <c r="C465" s="9" t="s">
        <v>1313</v>
      </c>
      <c r="D465" s="2"/>
      <c r="E465" s="9" t="s">
        <v>728</v>
      </c>
      <c r="F465" s="2">
        <v>1</v>
      </c>
      <c r="G465" s="9" t="s">
        <v>90</v>
      </c>
      <c r="H465" s="9" t="s">
        <v>729</v>
      </c>
      <c r="I465" s="2">
        <f>VLOOKUP(B465,'[1]FM MIX OSCAR'!$A:$I,8,0)</f>
        <v>81252</v>
      </c>
      <c r="J465" s="2"/>
    </row>
    <row r="466" spans="1:10" x14ac:dyDescent="0.3">
      <c r="A466" s="1">
        <v>465</v>
      </c>
      <c r="B466" s="7">
        <v>14467585</v>
      </c>
      <c r="C466" s="9" t="s">
        <v>1313</v>
      </c>
      <c r="D466" s="2"/>
      <c r="E466" s="9" t="s">
        <v>730</v>
      </c>
      <c r="F466" s="2">
        <v>1</v>
      </c>
      <c r="G466" s="9" t="s">
        <v>90</v>
      </c>
      <c r="H466" s="9" t="s">
        <v>731</v>
      </c>
      <c r="I466" s="2">
        <f>VLOOKUP(B466,'[1]FM MIX OSCAR'!$A:$I,8,0)</f>
        <v>98568</v>
      </c>
      <c r="J466" s="2"/>
    </row>
    <row r="467" spans="1:10" x14ac:dyDescent="0.3">
      <c r="A467" s="1">
        <v>466</v>
      </c>
      <c r="B467" s="7">
        <v>21083623</v>
      </c>
      <c r="C467" s="9" t="s">
        <v>1313</v>
      </c>
      <c r="D467" s="2"/>
      <c r="E467" s="9" t="s">
        <v>483</v>
      </c>
      <c r="F467" s="2">
        <v>2</v>
      </c>
      <c r="G467" s="9" t="s">
        <v>69</v>
      </c>
      <c r="H467" s="9" t="s">
        <v>484</v>
      </c>
      <c r="I467" s="2">
        <f>VLOOKUP(B467,'[1]FM MIX OSCAR'!$A:$I,8,0)</f>
        <v>484848.00000000012</v>
      </c>
      <c r="J467" s="2">
        <f>VLOOKUP(B467,'[1]FM MIX OSCAR'!$A:$I,9,0)</f>
        <v>139</v>
      </c>
    </row>
    <row r="468" spans="1:10" x14ac:dyDescent="0.3">
      <c r="A468" s="1">
        <v>467</v>
      </c>
      <c r="B468" s="7">
        <v>24001922</v>
      </c>
      <c r="C468" s="9" t="s">
        <v>1313</v>
      </c>
      <c r="D468" s="2"/>
      <c r="E468" s="9" t="s">
        <v>451</v>
      </c>
      <c r="F468" s="2">
        <v>1</v>
      </c>
      <c r="G468" s="9" t="s">
        <v>90</v>
      </c>
      <c r="H468" s="9" t="s">
        <v>452</v>
      </c>
      <c r="I468" s="2">
        <f>VLOOKUP(B468,'[1]FM MIX OSCAR'!$A:$I,8,0)</f>
        <v>230436</v>
      </c>
      <c r="J468" s="2">
        <f>VLOOKUP(B468,'[1]FM MIX OSCAR'!$A:$I,9,0)</f>
        <v>153</v>
      </c>
    </row>
    <row r="469" spans="1:10" x14ac:dyDescent="0.3">
      <c r="A469" s="1">
        <v>468</v>
      </c>
      <c r="B469" s="7">
        <v>60001271</v>
      </c>
      <c r="C469" s="9" t="s">
        <v>1313</v>
      </c>
      <c r="D469" s="2"/>
      <c r="E469" s="9" t="s">
        <v>292</v>
      </c>
      <c r="F469" s="2">
        <v>1</v>
      </c>
      <c r="G469" s="9" t="s">
        <v>90</v>
      </c>
      <c r="H469" s="9" t="s">
        <v>562</v>
      </c>
      <c r="I469" s="2">
        <f>VLOOKUP(B469,'[1]FM MIX OSCAR'!$A:$I,8,0)</f>
        <v>80568684</v>
      </c>
      <c r="J469" s="2"/>
    </row>
    <row r="470" spans="1:10" x14ac:dyDescent="0.3">
      <c r="A470" s="1">
        <v>469</v>
      </c>
      <c r="B470" s="7">
        <v>60001291</v>
      </c>
      <c r="C470" s="9" t="s">
        <v>1313</v>
      </c>
      <c r="D470" s="2"/>
      <c r="E470" s="9" t="s">
        <v>569</v>
      </c>
      <c r="F470" s="2">
        <v>1</v>
      </c>
      <c r="G470" s="9" t="s">
        <v>476</v>
      </c>
      <c r="H470" s="9" t="s">
        <v>570</v>
      </c>
      <c r="I470" s="2">
        <f>VLOOKUP(B470,'[1]FM MIX OSCAR'!$A:$I,8,0)</f>
        <v>170496</v>
      </c>
      <c r="J470" s="2"/>
    </row>
    <row r="471" spans="1:10" x14ac:dyDescent="0.3">
      <c r="A471" s="1">
        <v>470</v>
      </c>
      <c r="B471" s="7">
        <v>60001414</v>
      </c>
      <c r="C471" s="9" t="s">
        <v>1313</v>
      </c>
      <c r="D471" s="2"/>
      <c r="E471" s="9" t="s">
        <v>723</v>
      </c>
      <c r="F471" s="2">
        <v>1</v>
      </c>
      <c r="G471" s="9" t="s">
        <v>167</v>
      </c>
      <c r="H471" s="9" t="s">
        <v>168</v>
      </c>
      <c r="I471" s="2">
        <f>VLOOKUP(B471,'[1]FM MIX OSCAR'!$A:$I,8,0)</f>
        <v>282384</v>
      </c>
      <c r="J471" s="2">
        <f>VLOOKUP(B471,'[1]FM MIX OSCAR'!$A:$I,9,0)</f>
        <v>2</v>
      </c>
    </row>
    <row r="472" spans="1:10" x14ac:dyDescent="0.3">
      <c r="A472" s="1">
        <v>471</v>
      </c>
      <c r="B472" s="7">
        <v>60004470</v>
      </c>
      <c r="C472" s="9" t="s">
        <v>1313</v>
      </c>
      <c r="D472" s="2"/>
      <c r="E472" s="9" t="s">
        <v>564</v>
      </c>
      <c r="F472" s="2">
        <v>2</v>
      </c>
      <c r="G472" s="9" t="s">
        <v>90</v>
      </c>
      <c r="H472" s="9" t="s">
        <v>218</v>
      </c>
      <c r="I472" s="2">
        <f>VLOOKUP(B472,'[1]FM MIX OSCAR'!$A:$I,8,0)</f>
        <v>7761564.0000000009</v>
      </c>
      <c r="J472" s="2">
        <f>VLOOKUP(B472,'[1]FM MIX OSCAR'!$A:$I,9,0)</f>
        <v>10</v>
      </c>
    </row>
    <row r="473" spans="1:10" x14ac:dyDescent="0.3">
      <c r="A473" s="1">
        <v>472</v>
      </c>
      <c r="B473" s="7">
        <v>60004471</v>
      </c>
      <c r="C473" s="9" t="s">
        <v>1313</v>
      </c>
      <c r="D473" s="2"/>
      <c r="E473" s="9" t="s">
        <v>565</v>
      </c>
      <c r="F473" s="2">
        <v>1</v>
      </c>
      <c r="G473" s="9" t="s">
        <v>90</v>
      </c>
      <c r="H473" s="9" t="s">
        <v>566</v>
      </c>
      <c r="I473" s="2">
        <f>VLOOKUP(B473,'[1]FM MIX OSCAR'!$A:$I,8,0)</f>
        <v>4668660</v>
      </c>
      <c r="J473" s="2">
        <f>VLOOKUP(B473,'[1]FM MIX OSCAR'!$A:$I,9,0)</f>
        <v>2</v>
      </c>
    </row>
    <row r="474" spans="1:10" x14ac:dyDescent="0.3">
      <c r="A474" s="1">
        <v>473</v>
      </c>
      <c r="B474" s="7">
        <v>60004581</v>
      </c>
      <c r="C474" s="9" t="s">
        <v>1313</v>
      </c>
      <c r="D474" s="2"/>
      <c r="E474" s="9" t="s">
        <v>529</v>
      </c>
      <c r="F474" s="2">
        <v>1</v>
      </c>
      <c r="G474" s="9" t="s">
        <v>90</v>
      </c>
      <c r="H474" s="9" t="s">
        <v>530</v>
      </c>
      <c r="I474" s="2">
        <f>VLOOKUP(B474,'[1]FM MIX OSCAR'!$A:$I,8,0)</f>
        <v>15194124</v>
      </c>
      <c r="J474" s="2">
        <f>VLOOKUP(B474,'[1]FM MIX OSCAR'!$A:$I,9,0)</f>
        <v>18</v>
      </c>
    </row>
    <row r="475" spans="1:10" x14ac:dyDescent="0.3">
      <c r="A475" s="1">
        <v>474</v>
      </c>
      <c r="B475" s="7">
        <v>60004582</v>
      </c>
      <c r="C475" s="9" t="s">
        <v>1313</v>
      </c>
      <c r="D475" s="2"/>
      <c r="E475" s="9" t="s">
        <v>529</v>
      </c>
      <c r="F475" s="2">
        <v>1</v>
      </c>
      <c r="G475" s="9" t="s">
        <v>90</v>
      </c>
      <c r="H475" s="9" t="s">
        <v>530</v>
      </c>
      <c r="I475" s="2">
        <f>VLOOKUP(B475,'[1]FM MIX OSCAR'!$A:$I,8,0)</f>
        <v>92414160</v>
      </c>
      <c r="J475" s="2">
        <f>VLOOKUP(B475,'[1]FM MIX OSCAR'!$A:$I,9,0)</f>
        <v>2</v>
      </c>
    </row>
    <row r="476" spans="1:10" x14ac:dyDescent="0.3">
      <c r="A476" s="1">
        <v>475</v>
      </c>
      <c r="B476" s="7">
        <v>60004583</v>
      </c>
      <c r="C476" s="9" t="s">
        <v>1313</v>
      </c>
      <c r="D476" s="2"/>
      <c r="E476" s="9" t="s">
        <v>529</v>
      </c>
      <c r="F476" s="2">
        <v>1</v>
      </c>
      <c r="G476" s="9" t="s">
        <v>90</v>
      </c>
      <c r="H476" s="9" t="s">
        <v>530</v>
      </c>
      <c r="I476" s="2">
        <f>VLOOKUP(B476,'[1]FM MIX OSCAR'!$A:$I,8,0)</f>
        <v>91480428</v>
      </c>
      <c r="J476" s="2">
        <f>VLOOKUP(B476,'[1]FM MIX OSCAR'!$A:$I,9,0)</f>
        <v>3</v>
      </c>
    </row>
    <row r="477" spans="1:10" x14ac:dyDescent="0.3">
      <c r="A477" s="1">
        <v>476</v>
      </c>
      <c r="B477" s="7">
        <v>60004631</v>
      </c>
      <c r="C477" s="9" t="s">
        <v>1313</v>
      </c>
      <c r="D477" s="2"/>
      <c r="E477" s="9" t="s">
        <v>339</v>
      </c>
      <c r="F477" s="2">
        <v>1</v>
      </c>
      <c r="G477" s="9" t="s">
        <v>90</v>
      </c>
      <c r="H477" s="9" t="s">
        <v>340</v>
      </c>
      <c r="I477" s="2">
        <f>VLOOKUP(B477,'[1]FM MIX OSCAR'!$A:$I,8,0)</f>
        <v>28687284</v>
      </c>
      <c r="J477" s="2">
        <f>VLOOKUP(B477,'[1]FM MIX OSCAR'!$A:$I,9,0)</f>
        <v>3</v>
      </c>
    </row>
    <row r="478" spans="1:10" x14ac:dyDescent="0.3">
      <c r="A478" s="1">
        <v>477</v>
      </c>
      <c r="B478" s="7">
        <v>60004632</v>
      </c>
      <c r="C478" s="9" t="s">
        <v>1313</v>
      </c>
      <c r="D478" s="2"/>
      <c r="E478" s="9" t="s">
        <v>342</v>
      </c>
      <c r="F478" s="2">
        <v>1</v>
      </c>
      <c r="G478" s="9" t="s">
        <v>90</v>
      </c>
      <c r="H478" s="9" t="s">
        <v>97</v>
      </c>
      <c r="I478" s="2">
        <f>VLOOKUP(B478,'[1]FM MIX OSCAR'!$A:$I,8,0)</f>
        <v>9177480</v>
      </c>
      <c r="J478" s="2"/>
    </row>
    <row r="479" spans="1:10" x14ac:dyDescent="0.3">
      <c r="A479" s="1">
        <v>478</v>
      </c>
      <c r="B479" s="7">
        <v>60006349</v>
      </c>
      <c r="C479" s="9" t="s">
        <v>1313</v>
      </c>
      <c r="D479" s="2"/>
      <c r="E479" s="9" t="s">
        <v>588</v>
      </c>
      <c r="F479" s="2">
        <v>1</v>
      </c>
      <c r="G479" s="9" t="s">
        <v>90</v>
      </c>
      <c r="H479" s="9" t="s">
        <v>589</v>
      </c>
      <c r="I479" s="2">
        <f>VLOOKUP(B479,'[1]FM MIX OSCAR'!$A:$I,8,0)</f>
        <v>7271388.0000000009</v>
      </c>
      <c r="J479" s="2">
        <f>VLOOKUP(B479,'[1]FM MIX OSCAR'!$A:$I,9,0)</f>
        <v>6</v>
      </c>
    </row>
    <row r="480" spans="1:10" x14ac:dyDescent="0.3">
      <c r="A480" s="1">
        <v>479</v>
      </c>
      <c r="B480" s="7">
        <v>60009584</v>
      </c>
      <c r="C480" s="9" t="s">
        <v>1313</v>
      </c>
      <c r="D480" s="2"/>
      <c r="E480" s="9" t="s">
        <v>325</v>
      </c>
      <c r="F480" s="2">
        <v>1</v>
      </c>
      <c r="G480" s="9" t="s">
        <v>84</v>
      </c>
      <c r="H480" s="9" t="s">
        <v>326</v>
      </c>
      <c r="I480" s="2">
        <f>VLOOKUP(B480,'[1]FM MIX OSCAR'!$A:$I,8,0)</f>
        <v>42513444</v>
      </c>
      <c r="J480" s="2">
        <f>VLOOKUP(B480,'[1]FM MIX OSCAR'!$A:$I,9,0)</f>
        <v>9</v>
      </c>
    </row>
    <row r="481" spans="1:10" x14ac:dyDescent="0.3">
      <c r="A481" s="1">
        <v>480</v>
      </c>
      <c r="B481" s="7">
        <v>60010516</v>
      </c>
      <c r="C481" s="9" t="s">
        <v>1313</v>
      </c>
      <c r="D481" s="2"/>
      <c r="E481" s="9" t="s">
        <v>536</v>
      </c>
      <c r="F481" s="2">
        <v>36</v>
      </c>
      <c r="G481" s="9" t="s">
        <v>90</v>
      </c>
      <c r="H481" s="9" t="s">
        <v>537</v>
      </c>
      <c r="I481" s="2">
        <f>VLOOKUP(B481,'[1]FM MIX OSCAR'!$A:$I,8,0)</f>
        <v>14652</v>
      </c>
      <c r="J481" s="2">
        <f>VLOOKUP(B481,'[1]FM MIX OSCAR'!$A:$I,9,0)</f>
        <v>150</v>
      </c>
    </row>
    <row r="482" spans="1:10" x14ac:dyDescent="0.3">
      <c r="A482" s="1">
        <v>481</v>
      </c>
      <c r="B482" s="7">
        <v>60010518</v>
      </c>
      <c r="C482" s="9" t="s">
        <v>1313</v>
      </c>
      <c r="D482" s="2"/>
      <c r="E482" s="9" t="s">
        <v>534</v>
      </c>
      <c r="F482" s="2">
        <v>1</v>
      </c>
      <c r="G482" s="9" t="s">
        <v>90</v>
      </c>
      <c r="H482" s="9" t="s">
        <v>535</v>
      </c>
      <c r="I482" s="2">
        <f>VLOOKUP(B482,'[1]FM MIX OSCAR'!$A:$I,8,0)</f>
        <v>1164168</v>
      </c>
      <c r="J482" s="2">
        <f>VLOOKUP(B482,'[1]FM MIX OSCAR'!$A:$I,9,0)</f>
        <v>83</v>
      </c>
    </row>
    <row r="483" spans="1:10" x14ac:dyDescent="0.3">
      <c r="A483" s="1">
        <v>482</v>
      </c>
      <c r="B483" s="7">
        <v>60013295</v>
      </c>
      <c r="C483" s="9" t="s">
        <v>1313</v>
      </c>
      <c r="D483" s="2"/>
      <c r="E483" s="9" t="s">
        <v>339</v>
      </c>
      <c r="F483" s="2">
        <v>1</v>
      </c>
      <c r="G483" s="9" t="s">
        <v>90</v>
      </c>
      <c r="H483" s="9" t="s">
        <v>789</v>
      </c>
      <c r="I483" s="2">
        <f>VLOOKUP(B483,'[1]FM MIX OSCAR'!$A:$I,8,0)</f>
        <v>2148516</v>
      </c>
      <c r="J483" s="2">
        <f>VLOOKUP(B483,'[1]FM MIX OSCAR'!$A:$I,9,0)</f>
        <v>3</v>
      </c>
    </row>
    <row r="484" spans="1:10" x14ac:dyDescent="0.3">
      <c r="A484" s="1">
        <v>483</v>
      </c>
      <c r="B484" s="7">
        <v>60013667</v>
      </c>
      <c r="C484" s="9" t="s">
        <v>1313</v>
      </c>
      <c r="D484" s="2"/>
      <c r="E484" s="9" t="s">
        <v>253</v>
      </c>
      <c r="F484" s="2">
        <v>1</v>
      </c>
      <c r="G484" s="9" t="s">
        <v>84</v>
      </c>
      <c r="H484" s="9" t="s">
        <v>455</v>
      </c>
      <c r="I484" s="2">
        <f>VLOOKUP(B484,'[1]FM MIX OSCAR'!$A:$I,8,0)</f>
        <v>177156</v>
      </c>
      <c r="J484" s="2"/>
    </row>
    <row r="485" spans="1:10" x14ac:dyDescent="0.3">
      <c r="A485" s="1">
        <v>484</v>
      </c>
      <c r="B485" s="7">
        <v>60013897</v>
      </c>
      <c r="C485" s="9" t="s">
        <v>1313</v>
      </c>
      <c r="D485" s="2"/>
      <c r="E485" s="9" t="s">
        <v>482</v>
      </c>
      <c r="F485" s="2">
        <v>1</v>
      </c>
      <c r="G485" s="9" t="s">
        <v>63</v>
      </c>
      <c r="H485" s="9" t="s">
        <v>318</v>
      </c>
      <c r="I485" s="2">
        <f>VLOOKUP(B485,'[1]FM MIX OSCAR'!$A:$I,8,0)</f>
        <v>2189808</v>
      </c>
      <c r="J485" s="2">
        <f>VLOOKUP(B485,'[1]FM MIX OSCAR'!$A:$I,9,0)</f>
        <v>405</v>
      </c>
    </row>
    <row r="486" spans="1:10" x14ac:dyDescent="0.3">
      <c r="A486" s="1">
        <v>485</v>
      </c>
      <c r="B486" s="7">
        <v>60014833</v>
      </c>
      <c r="C486" s="9" t="s">
        <v>1313</v>
      </c>
      <c r="D486" s="2"/>
      <c r="E486" s="9" t="s">
        <v>576</v>
      </c>
      <c r="F486" s="2">
        <v>1</v>
      </c>
      <c r="G486" s="9" t="s">
        <v>69</v>
      </c>
      <c r="H486" s="9" t="s">
        <v>109</v>
      </c>
      <c r="I486" s="2">
        <f>VLOOKUP(B486,'[1]FM MIX OSCAR'!$A:$I,8,0)</f>
        <v>1216116</v>
      </c>
      <c r="J486" s="2"/>
    </row>
    <row r="487" spans="1:10" x14ac:dyDescent="0.3">
      <c r="A487" s="1">
        <v>486</v>
      </c>
      <c r="B487" s="7">
        <v>60015007</v>
      </c>
      <c r="C487" s="9" t="s">
        <v>1313</v>
      </c>
      <c r="D487" s="2"/>
      <c r="E487" s="9" t="s">
        <v>46</v>
      </c>
      <c r="F487" s="2">
        <v>2</v>
      </c>
      <c r="G487" s="9" t="s">
        <v>90</v>
      </c>
      <c r="H487" s="9" t="s">
        <v>46</v>
      </c>
      <c r="I487" s="2">
        <f>VLOOKUP(B487,'[1]FM MIX OSCAR'!$A:$I,8,0)</f>
        <v>889355088.00000012</v>
      </c>
      <c r="J487" s="2">
        <f>VLOOKUP(B487,'[1]FM MIX OSCAR'!$A:$I,9,0)</f>
        <v>3</v>
      </c>
    </row>
    <row r="488" spans="1:10" x14ac:dyDescent="0.3">
      <c r="A488" s="1">
        <v>487</v>
      </c>
      <c r="B488" s="7">
        <v>60015010</v>
      </c>
      <c r="C488" s="9" t="s">
        <v>1313</v>
      </c>
      <c r="D488" s="2"/>
      <c r="E488" s="9" t="s">
        <v>487</v>
      </c>
      <c r="F488" s="2">
        <v>1</v>
      </c>
      <c r="G488" s="9" t="s">
        <v>90</v>
      </c>
      <c r="H488" s="9" t="s">
        <v>100</v>
      </c>
      <c r="I488" s="2">
        <f>VLOOKUP(B488,'[1]FM MIX OSCAR'!$A:$I,8,0)</f>
        <v>141469056</v>
      </c>
      <c r="J488" s="2">
        <f>VLOOKUP(B488,'[1]FM MIX OSCAR'!$A:$I,9,0)</f>
        <v>5</v>
      </c>
    </row>
    <row r="489" spans="1:10" x14ac:dyDescent="0.3">
      <c r="A489" s="1">
        <v>488</v>
      </c>
      <c r="B489" s="7">
        <v>60022607</v>
      </c>
      <c r="C489" s="9" t="s">
        <v>1313</v>
      </c>
      <c r="D489" s="2"/>
      <c r="E489" s="9" t="s">
        <v>592</v>
      </c>
      <c r="F489" s="2">
        <v>1</v>
      </c>
      <c r="G489" s="9" t="s">
        <v>63</v>
      </c>
      <c r="H489" s="9" t="s">
        <v>593</v>
      </c>
      <c r="I489" s="2">
        <f>VLOOKUP(B489,'[1]FM MIX OSCAR'!$A:$I,8,0)</f>
        <v>101232</v>
      </c>
      <c r="J489" s="2">
        <f>VLOOKUP(B489,'[1]FM MIX OSCAR'!$A:$I,9,0)</f>
        <v>102</v>
      </c>
    </row>
    <row r="490" spans="1:10" x14ac:dyDescent="0.3">
      <c r="A490" s="1">
        <v>489</v>
      </c>
      <c r="B490" s="7">
        <v>60022614</v>
      </c>
      <c r="C490" s="9" t="s">
        <v>1313</v>
      </c>
      <c r="D490" s="2"/>
      <c r="E490" s="9" t="s">
        <v>590</v>
      </c>
      <c r="F490" s="2">
        <v>1</v>
      </c>
      <c r="G490" s="9" t="s">
        <v>90</v>
      </c>
      <c r="H490" s="9" t="s">
        <v>591</v>
      </c>
      <c r="I490" s="2">
        <f>VLOOKUP(B490,'[1]FM MIX OSCAR'!$A:$I,8,0)</f>
        <v>321012</v>
      </c>
      <c r="J490" s="2"/>
    </row>
    <row r="491" spans="1:10" x14ac:dyDescent="0.3">
      <c r="A491" s="1">
        <v>490</v>
      </c>
      <c r="B491" s="7">
        <v>60025666</v>
      </c>
      <c r="C491" s="9" t="s">
        <v>1313</v>
      </c>
      <c r="D491" s="2"/>
      <c r="E491" s="9" t="s">
        <v>642</v>
      </c>
      <c r="F491" s="2">
        <v>4</v>
      </c>
      <c r="G491" s="9" t="s">
        <v>90</v>
      </c>
      <c r="H491" s="9" t="s">
        <v>643</v>
      </c>
      <c r="I491" s="2">
        <f>VLOOKUP(B491,'[1]FM MIX OSCAR'!$A:$I,8,0)</f>
        <v>77256</v>
      </c>
      <c r="J491" s="2">
        <f>VLOOKUP(B491,'[1]FM MIX OSCAR'!$A:$I,9,0)</f>
        <v>9</v>
      </c>
    </row>
    <row r="492" spans="1:10" x14ac:dyDescent="0.3">
      <c r="A492" s="1">
        <v>491</v>
      </c>
      <c r="B492" s="7">
        <v>60025678</v>
      </c>
      <c r="C492" s="9" t="s">
        <v>1313</v>
      </c>
      <c r="D492" s="2"/>
      <c r="E492" s="9" t="s">
        <v>488</v>
      </c>
      <c r="F492" s="2">
        <v>1</v>
      </c>
      <c r="G492" s="9" t="s">
        <v>84</v>
      </c>
      <c r="H492" s="9" t="s">
        <v>87</v>
      </c>
      <c r="I492" s="2">
        <f>VLOOKUP(B492,'[1]FM MIX OSCAR'!$A:$I,8,0)</f>
        <v>3552444</v>
      </c>
      <c r="J492" s="2"/>
    </row>
    <row r="493" spans="1:10" x14ac:dyDescent="0.3">
      <c r="A493" s="1">
        <v>492</v>
      </c>
      <c r="B493" s="7">
        <v>60030981</v>
      </c>
      <c r="C493" s="9" t="s">
        <v>1313</v>
      </c>
      <c r="D493" s="2"/>
      <c r="E493" s="9" t="s">
        <v>41</v>
      </c>
      <c r="F493" s="2">
        <v>1</v>
      </c>
      <c r="G493" s="9" t="s">
        <v>90</v>
      </c>
      <c r="H493" s="9" t="s">
        <v>41</v>
      </c>
      <c r="I493" s="2">
        <f>VLOOKUP(B493,'[1]FM MIX OSCAR'!$A:$I,8,0)</f>
        <v>119187360</v>
      </c>
      <c r="J493" s="2"/>
    </row>
    <row r="494" spans="1:10" x14ac:dyDescent="0.3">
      <c r="A494" s="1">
        <v>493</v>
      </c>
      <c r="B494" s="7">
        <v>60050056</v>
      </c>
      <c r="C494" s="9" t="s">
        <v>1313</v>
      </c>
      <c r="D494" s="2"/>
      <c r="E494" s="9" t="s">
        <v>560</v>
      </c>
      <c r="F494" s="2">
        <v>2</v>
      </c>
      <c r="G494" s="9" t="s">
        <v>84</v>
      </c>
      <c r="H494" s="9" t="s">
        <v>561</v>
      </c>
      <c r="I494" s="2">
        <f>VLOOKUP(B494,'[1]FM MIX OSCAR'!$A:$I,8,0)</f>
        <v>4983012</v>
      </c>
      <c r="J494" s="2"/>
    </row>
    <row r="495" spans="1:10" x14ac:dyDescent="0.3">
      <c r="A495" s="1">
        <v>494</v>
      </c>
      <c r="B495" s="7">
        <v>60062132</v>
      </c>
      <c r="C495" s="9" t="s">
        <v>1313</v>
      </c>
      <c r="D495" s="2"/>
      <c r="E495" s="9" t="s">
        <v>472</v>
      </c>
      <c r="F495" s="2">
        <v>1</v>
      </c>
      <c r="G495" s="9" t="s">
        <v>90</v>
      </c>
      <c r="H495" s="9" t="s">
        <v>473</v>
      </c>
      <c r="I495" s="2"/>
      <c r="J495" s="2">
        <f>VLOOKUP(B495,'[1]FM MIX OSCAR'!$A:$I,9,0)</f>
        <v>6</v>
      </c>
    </row>
    <row r="496" spans="1:10" x14ac:dyDescent="0.3">
      <c r="A496" s="1">
        <v>495</v>
      </c>
      <c r="B496" s="7">
        <v>60071633</v>
      </c>
      <c r="C496" s="9" t="s">
        <v>1313</v>
      </c>
      <c r="D496" s="2"/>
      <c r="E496" s="9" t="s">
        <v>663</v>
      </c>
      <c r="F496" s="2">
        <v>2</v>
      </c>
      <c r="G496" s="9" t="s">
        <v>151</v>
      </c>
      <c r="H496" s="9" t="s">
        <v>152</v>
      </c>
      <c r="I496" s="2">
        <f>VLOOKUP(B496,'[1]FM MIX OSCAR'!$A:$I,8,0)</f>
        <v>3993336</v>
      </c>
      <c r="J496" s="2"/>
    </row>
    <row r="497" spans="1:10" x14ac:dyDescent="0.3">
      <c r="A497" s="1">
        <v>496</v>
      </c>
      <c r="B497" s="7">
        <v>60072824</v>
      </c>
      <c r="C497" s="9" t="s">
        <v>1313</v>
      </c>
      <c r="D497" s="2"/>
      <c r="E497" s="9" t="s">
        <v>499</v>
      </c>
      <c r="F497" s="2">
        <v>1</v>
      </c>
      <c r="G497" s="9" t="s">
        <v>69</v>
      </c>
      <c r="H497" s="9" t="s">
        <v>500</v>
      </c>
      <c r="I497" s="2">
        <f>VLOOKUP(B497,'[1]FM MIX OSCAR'!$A:$I,8,0)</f>
        <v>4724604</v>
      </c>
      <c r="J497" s="2"/>
    </row>
    <row r="498" spans="1:10" x14ac:dyDescent="0.3">
      <c r="A498" s="1">
        <v>497</v>
      </c>
      <c r="B498" s="7">
        <v>60075230</v>
      </c>
      <c r="C498" s="9" t="s">
        <v>1313</v>
      </c>
      <c r="D498" s="2"/>
      <c r="E498" s="9" t="s">
        <v>612</v>
      </c>
      <c r="F498" s="2">
        <v>3</v>
      </c>
      <c r="G498" s="9" t="s">
        <v>613</v>
      </c>
      <c r="H498" s="9" t="s">
        <v>614</v>
      </c>
      <c r="I498" s="2">
        <f>VLOOKUP(B498,'[1]FM MIX OSCAR'!$A:$I,8,0)</f>
        <v>7992.0000000000009</v>
      </c>
      <c r="J498" s="2"/>
    </row>
    <row r="499" spans="1:10" x14ac:dyDescent="0.3">
      <c r="A499" s="1">
        <v>498</v>
      </c>
      <c r="B499" s="7">
        <v>60084838</v>
      </c>
      <c r="C499" s="9" t="s">
        <v>1313</v>
      </c>
      <c r="D499" s="2"/>
      <c r="E499" s="9" t="s">
        <v>687</v>
      </c>
      <c r="F499" s="2">
        <v>1</v>
      </c>
      <c r="G499" s="9" t="s">
        <v>90</v>
      </c>
      <c r="H499" s="9" t="s">
        <v>688</v>
      </c>
      <c r="I499" s="2">
        <f>VLOOKUP(B499,'[1]FM MIX OSCAR'!$A:$I,8,0)</f>
        <v>1886112</v>
      </c>
      <c r="J499" s="2"/>
    </row>
    <row r="500" spans="1:10" x14ac:dyDescent="0.3">
      <c r="A500" s="1">
        <v>499</v>
      </c>
      <c r="B500" s="7">
        <v>60101256</v>
      </c>
      <c r="C500" s="9" t="s">
        <v>1313</v>
      </c>
      <c r="D500" s="2"/>
      <c r="E500" s="9" t="s">
        <v>355</v>
      </c>
      <c r="F500" s="2">
        <v>1</v>
      </c>
      <c r="G500" s="9" t="s">
        <v>69</v>
      </c>
      <c r="H500" s="9" t="s">
        <v>356</v>
      </c>
      <c r="I500" s="2"/>
      <c r="J500" s="2"/>
    </row>
    <row r="501" spans="1:10" x14ac:dyDescent="0.3">
      <c r="A501" s="1">
        <v>500</v>
      </c>
      <c r="B501" s="7">
        <v>60104310</v>
      </c>
      <c r="C501" s="9" t="s">
        <v>1313</v>
      </c>
      <c r="D501" s="2"/>
      <c r="E501" s="9" t="s">
        <v>246</v>
      </c>
      <c r="F501" s="2">
        <v>1</v>
      </c>
      <c r="G501" s="9" t="s">
        <v>84</v>
      </c>
      <c r="H501" s="9" t="s">
        <v>611</v>
      </c>
      <c r="I501" s="2">
        <f>VLOOKUP(B501,'[1]FM MIX OSCAR'!$A:$I,8,0)</f>
        <v>432900.00000000012</v>
      </c>
      <c r="J501" s="2"/>
    </row>
    <row r="502" spans="1:10" x14ac:dyDescent="0.3">
      <c r="A502" s="1">
        <v>501</v>
      </c>
      <c r="B502" s="7">
        <v>60105071</v>
      </c>
      <c r="C502" s="9" t="s">
        <v>1313</v>
      </c>
      <c r="D502" s="2"/>
      <c r="E502" s="9" t="s">
        <v>672</v>
      </c>
      <c r="F502" s="2">
        <v>1</v>
      </c>
      <c r="G502" s="9" t="s">
        <v>90</v>
      </c>
      <c r="H502" s="9" t="s">
        <v>673</v>
      </c>
      <c r="I502" s="2">
        <f>VLOOKUP(B502,'[1]FM MIX OSCAR'!$A:$I,8,0)</f>
        <v>135864</v>
      </c>
      <c r="J502" s="2"/>
    </row>
    <row r="503" spans="1:10" x14ac:dyDescent="0.3">
      <c r="A503" s="1">
        <v>502</v>
      </c>
      <c r="B503" s="7">
        <v>60106736</v>
      </c>
      <c r="C503" s="9" t="s">
        <v>1313</v>
      </c>
      <c r="D503" s="2"/>
      <c r="E503" s="9" t="s">
        <v>736</v>
      </c>
      <c r="F503" s="2">
        <v>6</v>
      </c>
      <c r="G503" s="9" t="s">
        <v>90</v>
      </c>
      <c r="H503" s="9" t="s">
        <v>737</v>
      </c>
      <c r="I503" s="2">
        <f>VLOOKUP(B503,'[1]FM MIX OSCAR'!$A:$I,8,0)</f>
        <v>170496</v>
      </c>
      <c r="J503" s="2">
        <f>VLOOKUP(B503,'[1]FM MIX OSCAR'!$A:$I,9,0)</f>
        <v>8</v>
      </c>
    </row>
    <row r="504" spans="1:10" x14ac:dyDescent="0.3">
      <c r="A504" s="1">
        <v>503</v>
      </c>
      <c r="B504" s="7">
        <v>60106777</v>
      </c>
      <c r="C504" s="9" t="s">
        <v>1313</v>
      </c>
      <c r="D504" s="2"/>
      <c r="E504" s="9" t="s">
        <v>792</v>
      </c>
      <c r="F504" s="2">
        <v>1</v>
      </c>
      <c r="G504" s="9" t="s">
        <v>90</v>
      </c>
      <c r="H504" s="9" t="s">
        <v>793</v>
      </c>
      <c r="I504" s="2">
        <f>VLOOKUP(B504,'[1]FM MIX OSCAR'!$A:$I,8,0)</f>
        <v>1892772</v>
      </c>
      <c r="J504" s="2">
        <f>VLOOKUP(B504,'[1]FM MIX OSCAR'!$A:$I,9,0)</f>
        <v>2</v>
      </c>
    </row>
    <row r="505" spans="1:10" x14ac:dyDescent="0.3">
      <c r="A505" s="1">
        <v>504</v>
      </c>
      <c r="B505" s="7">
        <v>60106797</v>
      </c>
      <c r="C505" s="9" t="s">
        <v>1313</v>
      </c>
      <c r="D505" s="2"/>
      <c r="E505" s="9" t="s">
        <v>762</v>
      </c>
      <c r="F505" s="2">
        <v>1</v>
      </c>
      <c r="G505" s="9" t="s">
        <v>84</v>
      </c>
      <c r="H505" s="9" t="s">
        <v>763</v>
      </c>
      <c r="I505" s="2">
        <f>VLOOKUP(B505,'[1]FM MIX OSCAR'!$A:$I,8,0)</f>
        <v>311688</v>
      </c>
      <c r="J505" s="2">
        <f>VLOOKUP(B505,'[1]FM MIX OSCAR'!$A:$I,9,0)</f>
        <v>18</v>
      </c>
    </row>
    <row r="506" spans="1:10" x14ac:dyDescent="0.3">
      <c r="A506" s="1">
        <v>505</v>
      </c>
      <c r="B506" s="7">
        <v>60106800</v>
      </c>
      <c r="C506" s="9" t="s">
        <v>1313</v>
      </c>
      <c r="D506" s="2"/>
      <c r="E506" s="9" t="s">
        <v>764</v>
      </c>
      <c r="F506" s="2">
        <v>1</v>
      </c>
      <c r="G506" s="9" t="s">
        <v>84</v>
      </c>
      <c r="H506" s="9" t="s">
        <v>765</v>
      </c>
      <c r="I506" s="2">
        <f>VLOOKUP(B506,'[1]FM MIX OSCAR'!$A:$I,8,0)</f>
        <v>242424</v>
      </c>
      <c r="J506" s="2">
        <f>VLOOKUP(B506,'[1]FM MIX OSCAR'!$A:$I,9,0)</f>
        <v>1</v>
      </c>
    </row>
    <row r="507" spans="1:10" x14ac:dyDescent="0.3">
      <c r="A507" s="1">
        <v>506</v>
      </c>
      <c r="B507" s="7">
        <v>60107816</v>
      </c>
      <c r="C507" s="9" t="s">
        <v>1313</v>
      </c>
      <c r="D507" s="2"/>
      <c r="E507" s="9" t="s">
        <v>408</v>
      </c>
      <c r="F507" s="2">
        <v>2</v>
      </c>
      <c r="G507" s="9" t="s">
        <v>90</v>
      </c>
      <c r="H507" s="9" t="s">
        <v>409</v>
      </c>
      <c r="I507" s="2">
        <f>VLOOKUP(B507,'[1]FM MIX OSCAR'!$A:$I,8,0)</f>
        <v>422244.00000000012</v>
      </c>
      <c r="J507" s="2">
        <f>VLOOKUP(B507,'[1]FM MIX OSCAR'!$A:$I,9,0)</f>
        <v>4</v>
      </c>
    </row>
    <row r="508" spans="1:10" x14ac:dyDescent="0.3">
      <c r="A508" s="1">
        <v>507</v>
      </c>
      <c r="B508" s="7">
        <v>60118234</v>
      </c>
      <c r="C508" s="9" t="s">
        <v>1313</v>
      </c>
      <c r="D508" s="2"/>
      <c r="E508" s="9" t="s">
        <v>716</v>
      </c>
      <c r="F508" s="2">
        <v>2</v>
      </c>
      <c r="G508" s="9" t="s">
        <v>717</v>
      </c>
      <c r="H508" s="9" t="s">
        <v>718</v>
      </c>
      <c r="I508" s="2">
        <f>VLOOKUP(B508,'[1]FM MIX OSCAR'!$A:$I,8,0)</f>
        <v>106560</v>
      </c>
      <c r="J508" s="2">
        <f>VLOOKUP(B508,'[1]FM MIX OSCAR'!$A:$I,9,0)</f>
        <v>106</v>
      </c>
    </row>
    <row r="509" spans="1:10" x14ac:dyDescent="0.3">
      <c r="A509" s="1">
        <v>508</v>
      </c>
      <c r="B509" s="7">
        <v>60118238</v>
      </c>
      <c r="C509" s="9" t="s">
        <v>1313</v>
      </c>
      <c r="D509" s="2"/>
      <c r="E509" s="9" t="s">
        <v>712</v>
      </c>
      <c r="F509" s="2">
        <v>1</v>
      </c>
      <c r="G509" s="9" t="s">
        <v>90</v>
      </c>
      <c r="H509" s="9" t="s">
        <v>713</v>
      </c>
      <c r="I509" s="2">
        <f>VLOOKUP(B509,'[1]FM MIX OSCAR'!$A:$I,8,0)</f>
        <v>480852.00000000012</v>
      </c>
      <c r="J509" s="2">
        <f>VLOOKUP(B509,'[1]FM MIX OSCAR'!$A:$I,9,0)</f>
        <v>3</v>
      </c>
    </row>
    <row r="510" spans="1:10" x14ac:dyDescent="0.3">
      <c r="A510" s="1">
        <v>509</v>
      </c>
      <c r="B510" s="7">
        <v>60118244</v>
      </c>
      <c r="C510" s="9" t="s">
        <v>1313</v>
      </c>
      <c r="D510" s="2"/>
      <c r="E510" s="9" t="s">
        <v>915</v>
      </c>
      <c r="F510" s="2">
        <v>2</v>
      </c>
      <c r="G510" s="9" t="s">
        <v>90</v>
      </c>
      <c r="H510" s="9" t="s">
        <v>916</v>
      </c>
      <c r="I510" s="2">
        <f>VLOOKUP(B510,'[1]FM MIX OSCAR'!$A:$I,8,0)</f>
        <v>89244</v>
      </c>
      <c r="J510" s="2">
        <f>VLOOKUP(B510,'[1]FM MIX OSCAR'!$A:$I,9,0)</f>
        <v>113</v>
      </c>
    </row>
    <row r="511" spans="1:10" x14ac:dyDescent="0.3">
      <c r="A511" s="1">
        <v>510</v>
      </c>
      <c r="B511" s="7">
        <v>60119268</v>
      </c>
      <c r="C511" s="9" t="s">
        <v>1313</v>
      </c>
      <c r="D511" s="2"/>
      <c r="E511" s="9" t="s">
        <v>396</v>
      </c>
      <c r="F511" s="2">
        <v>1</v>
      </c>
      <c r="G511" s="9" t="s">
        <v>90</v>
      </c>
      <c r="H511" s="9" t="s">
        <v>397</v>
      </c>
      <c r="I511" s="2">
        <f>VLOOKUP(B511,'[1]FM MIX OSCAR'!$A:$I,8,0)</f>
        <v>659340</v>
      </c>
      <c r="J511" s="2">
        <f>VLOOKUP(B511,'[1]FM MIX OSCAR'!$A:$I,9,0)</f>
        <v>32</v>
      </c>
    </row>
    <row r="512" spans="1:10" x14ac:dyDescent="0.3">
      <c r="A512" s="1">
        <v>511</v>
      </c>
      <c r="B512" s="7">
        <v>60122635</v>
      </c>
      <c r="C512" s="9" t="s">
        <v>1313</v>
      </c>
      <c r="D512" s="2"/>
      <c r="E512" s="9" t="s">
        <v>615</v>
      </c>
      <c r="F512" s="2">
        <v>4</v>
      </c>
      <c r="G512" s="9" t="s">
        <v>167</v>
      </c>
      <c r="H512" s="9" t="s">
        <v>616</v>
      </c>
      <c r="I512" s="2">
        <f>VLOOKUP(B512,'[1]FM MIX OSCAR'!$A:$I,8,0)</f>
        <v>18648</v>
      </c>
      <c r="J512" s="2"/>
    </row>
    <row r="513" spans="1:10" x14ac:dyDescent="0.3">
      <c r="A513" s="1">
        <v>512</v>
      </c>
      <c r="B513" s="7">
        <v>60123367</v>
      </c>
      <c r="C513" s="9" t="s">
        <v>1313</v>
      </c>
      <c r="D513" s="2"/>
      <c r="E513" s="9" t="s">
        <v>553</v>
      </c>
      <c r="F513" s="2">
        <v>1</v>
      </c>
      <c r="G513" s="9" t="s">
        <v>90</v>
      </c>
      <c r="H513" s="9" t="s">
        <v>554</v>
      </c>
      <c r="I513" s="2">
        <f>VLOOKUP(B513,'[1]FM MIX OSCAR'!$A:$I,8,0)</f>
        <v>1358640</v>
      </c>
      <c r="J513" s="2">
        <f>VLOOKUP(B513,'[1]FM MIX OSCAR'!$A:$I,9,0)</f>
        <v>18</v>
      </c>
    </row>
    <row r="514" spans="1:10" x14ac:dyDescent="0.3">
      <c r="A514" s="1">
        <v>513</v>
      </c>
      <c r="B514" s="7">
        <v>60125032</v>
      </c>
      <c r="C514" s="9" t="s">
        <v>1313</v>
      </c>
      <c r="D514" s="2"/>
      <c r="E514" s="9" t="s">
        <v>742</v>
      </c>
      <c r="F514" s="2">
        <v>6</v>
      </c>
      <c r="G514" s="9" t="s">
        <v>151</v>
      </c>
      <c r="H514" s="9" t="s">
        <v>743</v>
      </c>
      <c r="I514" s="2">
        <f>VLOOKUP(B514,'[1]FM MIX OSCAR'!$A:$I,8,0)</f>
        <v>241092</v>
      </c>
      <c r="J514" s="2">
        <f>VLOOKUP(B514,'[1]FM MIX OSCAR'!$A:$I,9,0)</f>
        <v>1</v>
      </c>
    </row>
    <row r="515" spans="1:10" x14ac:dyDescent="0.3">
      <c r="A515" s="1">
        <v>514</v>
      </c>
      <c r="B515" s="7">
        <v>60125384</v>
      </c>
      <c r="C515" s="9" t="s">
        <v>1313</v>
      </c>
      <c r="D515" s="2"/>
      <c r="E515" s="9" t="s">
        <v>394</v>
      </c>
      <c r="F515" s="2">
        <v>1</v>
      </c>
      <c r="G515" s="9" t="s">
        <v>90</v>
      </c>
      <c r="H515" s="9" t="s">
        <v>395</v>
      </c>
      <c r="I515" s="2">
        <f>VLOOKUP(B515,'[1]FM MIX OSCAR'!$A:$I,8,0)</f>
        <v>1390608</v>
      </c>
      <c r="J515" s="2">
        <f>VLOOKUP(B515,'[1]FM MIX OSCAR'!$A:$I,9,0)</f>
        <v>9</v>
      </c>
    </row>
    <row r="516" spans="1:10" x14ac:dyDescent="0.3">
      <c r="A516" s="1">
        <v>515</v>
      </c>
      <c r="B516" s="7">
        <v>60125993</v>
      </c>
      <c r="C516" s="9" t="s">
        <v>1313</v>
      </c>
      <c r="D516" s="2"/>
      <c r="E516" s="9" t="s">
        <v>536</v>
      </c>
      <c r="F516" s="2">
        <v>1</v>
      </c>
      <c r="G516" s="9" t="s">
        <v>167</v>
      </c>
      <c r="H516" s="9" t="s">
        <v>650</v>
      </c>
      <c r="I516" s="2">
        <f>VLOOKUP(B516,'[1]FM MIX OSCAR'!$A:$I,8,0)</f>
        <v>5328</v>
      </c>
      <c r="J516" s="2">
        <f>VLOOKUP(B516,'[1]FM MIX OSCAR'!$A:$I,9,0)</f>
        <v>9</v>
      </c>
    </row>
    <row r="517" spans="1:10" x14ac:dyDescent="0.3">
      <c r="A517" s="1">
        <v>516</v>
      </c>
      <c r="B517" s="7">
        <v>60133933</v>
      </c>
      <c r="C517" s="9" t="s">
        <v>1313</v>
      </c>
      <c r="D517" s="2"/>
      <c r="E517" s="9" t="s">
        <v>416</v>
      </c>
      <c r="F517" s="2">
        <v>1</v>
      </c>
      <c r="G517" s="9" t="s">
        <v>63</v>
      </c>
      <c r="H517" s="9" t="s">
        <v>174</v>
      </c>
      <c r="I517" s="2">
        <f>VLOOKUP(B517,'[1]FM MIX OSCAR'!$A:$I,8,0)</f>
        <v>267732</v>
      </c>
      <c r="J517" s="2"/>
    </row>
    <row r="518" spans="1:10" x14ac:dyDescent="0.3">
      <c r="A518" s="1">
        <v>517</v>
      </c>
      <c r="B518" s="7">
        <v>60136332</v>
      </c>
      <c r="C518" s="9" t="s">
        <v>1313</v>
      </c>
      <c r="D518" s="2"/>
      <c r="E518" s="9" t="s">
        <v>506</v>
      </c>
      <c r="F518" s="2">
        <v>2</v>
      </c>
      <c r="G518" s="9" t="s">
        <v>90</v>
      </c>
      <c r="H518" s="9" t="s">
        <v>507</v>
      </c>
      <c r="I518" s="2">
        <f>VLOOKUP(B518,'[1]FM MIX OSCAR'!$A:$I,8,0)</f>
        <v>507492.00000000012</v>
      </c>
      <c r="J518" s="2">
        <f>VLOOKUP(B518,'[1]FM MIX OSCAR'!$A:$I,9,0)</f>
        <v>556</v>
      </c>
    </row>
    <row r="519" spans="1:10" x14ac:dyDescent="0.3">
      <c r="A519" s="1">
        <v>518</v>
      </c>
      <c r="B519" s="7">
        <v>60136920</v>
      </c>
      <c r="C519" s="9" t="s">
        <v>1313</v>
      </c>
      <c r="D519" s="2"/>
      <c r="E519" s="9" t="s">
        <v>557</v>
      </c>
      <c r="F519" s="2">
        <v>1</v>
      </c>
      <c r="G519" s="9" t="s">
        <v>90</v>
      </c>
      <c r="H519" s="9" t="s">
        <v>558</v>
      </c>
      <c r="I519" s="2">
        <f>VLOOKUP(B519,'[1]FM MIX OSCAR'!$A:$I,8,0)</f>
        <v>37698264</v>
      </c>
      <c r="J519" s="2">
        <f>VLOOKUP(B519,'[1]FM MIX OSCAR'!$A:$I,9,0)</f>
        <v>21</v>
      </c>
    </row>
    <row r="520" spans="1:10" x14ac:dyDescent="0.3">
      <c r="A520" s="1">
        <v>519</v>
      </c>
      <c r="B520" s="7">
        <v>60139656</v>
      </c>
      <c r="C520" s="9" t="s">
        <v>1313</v>
      </c>
      <c r="D520" s="2"/>
      <c r="E520" s="9" t="s">
        <v>628</v>
      </c>
      <c r="F520" s="2">
        <v>8</v>
      </c>
      <c r="G520" s="9" t="s">
        <v>167</v>
      </c>
      <c r="H520" s="9" t="s">
        <v>629</v>
      </c>
      <c r="I520" s="2">
        <f>VLOOKUP(B520,'[1]FM MIX OSCAR'!$A:$I,8,0)</f>
        <v>6660.0000000000009</v>
      </c>
      <c r="J520" s="2">
        <f>VLOOKUP(B520,'[1]FM MIX OSCAR'!$A:$I,9,0)</f>
        <v>13</v>
      </c>
    </row>
    <row r="521" spans="1:10" x14ac:dyDescent="0.3">
      <c r="A521" s="1">
        <v>520</v>
      </c>
      <c r="B521" s="7">
        <v>60141419</v>
      </c>
      <c r="C521" s="9" t="s">
        <v>1313</v>
      </c>
      <c r="D521" s="2"/>
      <c r="E521" s="9" t="s">
        <v>752</v>
      </c>
      <c r="F521" s="2">
        <v>12</v>
      </c>
      <c r="G521" s="9" t="s">
        <v>90</v>
      </c>
      <c r="H521" s="9" t="s">
        <v>753</v>
      </c>
      <c r="I521" s="2">
        <f>VLOOKUP(B521,'[1]FM MIX OSCAR'!$A:$I,8,0)</f>
        <v>406260.00000000012</v>
      </c>
      <c r="J521" s="2">
        <f>VLOOKUP(B521,'[1]FM MIX OSCAR'!$A:$I,9,0)</f>
        <v>55</v>
      </c>
    </row>
    <row r="522" spans="1:10" x14ac:dyDescent="0.3">
      <c r="A522" s="1">
        <v>521</v>
      </c>
      <c r="B522" s="7">
        <v>60141426</v>
      </c>
      <c r="C522" s="9" t="s">
        <v>1313</v>
      </c>
      <c r="D522" s="2"/>
      <c r="E522" s="9" t="s">
        <v>750</v>
      </c>
      <c r="F522" s="2">
        <v>12</v>
      </c>
      <c r="G522" s="9" t="s">
        <v>84</v>
      </c>
      <c r="H522" s="9" t="s">
        <v>751</v>
      </c>
      <c r="I522" s="2">
        <f>VLOOKUP(B522,'[1]FM MIX OSCAR'!$A:$I,8,0)</f>
        <v>15984</v>
      </c>
      <c r="J522" s="2">
        <f>VLOOKUP(B522,'[1]FM MIX OSCAR'!$A:$I,9,0)</f>
        <v>4</v>
      </c>
    </row>
    <row r="523" spans="1:10" x14ac:dyDescent="0.3">
      <c r="A523" s="1">
        <v>522</v>
      </c>
      <c r="B523" s="7">
        <v>60141428</v>
      </c>
      <c r="C523" s="9" t="s">
        <v>1313</v>
      </c>
      <c r="D523" s="2"/>
      <c r="E523" s="9" t="s">
        <v>291</v>
      </c>
      <c r="F523" s="2">
        <v>1</v>
      </c>
      <c r="G523" s="9" t="s">
        <v>84</v>
      </c>
      <c r="H523" s="9" t="s">
        <v>322</v>
      </c>
      <c r="I523" s="2">
        <f>VLOOKUP(B523,'[1]FM MIX OSCAR'!$A:$I,8,0)</f>
        <v>170496</v>
      </c>
      <c r="J523" s="2">
        <f>VLOOKUP(B523,'[1]FM MIX OSCAR'!$A:$I,9,0)</f>
        <v>154</v>
      </c>
    </row>
    <row r="524" spans="1:10" x14ac:dyDescent="0.3">
      <c r="A524" s="1">
        <v>523</v>
      </c>
      <c r="B524" s="7">
        <v>60148917</v>
      </c>
      <c r="C524" s="9" t="s">
        <v>1313</v>
      </c>
      <c r="D524" s="2"/>
      <c r="E524" s="9" t="s">
        <v>60</v>
      </c>
      <c r="F524" s="2">
        <v>2</v>
      </c>
      <c r="G524" s="9" t="s">
        <v>90</v>
      </c>
      <c r="H524" s="9" t="s">
        <v>556</v>
      </c>
      <c r="I524" s="2">
        <f>VLOOKUP(B524,'[1]FM MIX OSCAR'!$A:$I,8,0)</f>
        <v>2509488</v>
      </c>
      <c r="J524" s="2"/>
    </row>
    <row r="525" spans="1:10" x14ac:dyDescent="0.3">
      <c r="A525" s="1">
        <v>524</v>
      </c>
      <c r="B525" s="7">
        <v>60169444</v>
      </c>
      <c r="C525" s="9" t="s">
        <v>1313</v>
      </c>
      <c r="D525" s="2"/>
      <c r="E525" s="9" t="s">
        <v>501</v>
      </c>
      <c r="F525" s="2">
        <v>2</v>
      </c>
      <c r="G525" s="9" t="s">
        <v>69</v>
      </c>
      <c r="H525" s="9" t="s">
        <v>502</v>
      </c>
      <c r="I525" s="2">
        <f>VLOOKUP(B525,'[1]FM MIX OSCAR'!$A:$I,8,0)</f>
        <v>3655008</v>
      </c>
      <c r="J525" s="2">
        <f>VLOOKUP(B525,'[1]FM MIX OSCAR'!$A:$I,9,0)</f>
        <v>1122</v>
      </c>
    </row>
    <row r="526" spans="1:10" x14ac:dyDescent="0.3">
      <c r="A526" s="1">
        <v>525</v>
      </c>
      <c r="B526" s="7">
        <v>60189516</v>
      </c>
      <c r="C526" s="9" t="s">
        <v>1313</v>
      </c>
      <c r="D526" s="2"/>
      <c r="E526" s="9" t="s">
        <v>521</v>
      </c>
      <c r="F526" s="2">
        <v>1</v>
      </c>
      <c r="G526" s="9" t="s">
        <v>90</v>
      </c>
      <c r="H526" s="9" t="s">
        <v>522</v>
      </c>
      <c r="I526" s="2">
        <f>VLOOKUP(B526,'[1]FM MIX OSCAR'!$A:$I,8,0)</f>
        <v>45326628</v>
      </c>
      <c r="J526" s="2">
        <f>VLOOKUP(B526,'[1]FM MIX OSCAR'!$A:$I,9,0)</f>
        <v>8</v>
      </c>
    </row>
    <row r="527" spans="1:10" x14ac:dyDescent="0.3">
      <c r="A527" s="1">
        <v>526</v>
      </c>
      <c r="B527" s="7">
        <v>60190385</v>
      </c>
      <c r="C527" s="9" t="s">
        <v>1313</v>
      </c>
      <c r="D527" s="2"/>
      <c r="E527" s="9" t="s">
        <v>61</v>
      </c>
      <c r="F527" s="2">
        <v>4</v>
      </c>
      <c r="G527" s="9" t="s">
        <v>90</v>
      </c>
      <c r="H527" s="9" t="s">
        <v>555</v>
      </c>
      <c r="I527" s="2">
        <f>VLOOKUP(B527,'[1]FM MIX OSCAR'!$A:$I,8,0)</f>
        <v>4281048</v>
      </c>
      <c r="J527" s="2">
        <f>VLOOKUP(B527,'[1]FM MIX OSCAR'!$A:$I,9,0)</f>
        <v>49</v>
      </c>
    </row>
    <row r="528" spans="1:10" x14ac:dyDescent="0.3">
      <c r="A528" s="1">
        <v>527</v>
      </c>
      <c r="B528" s="7">
        <v>60190637</v>
      </c>
      <c r="C528" s="9" t="s">
        <v>1313</v>
      </c>
      <c r="D528" s="2"/>
      <c r="E528" s="9" t="s">
        <v>293</v>
      </c>
      <c r="F528" s="2">
        <v>2</v>
      </c>
      <c r="G528" s="9" t="s">
        <v>151</v>
      </c>
      <c r="H528" s="9" t="s">
        <v>393</v>
      </c>
      <c r="I528" s="2">
        <f>VLOOKUP(B528,'[1]FM MIX OSCAR'!$A:$I,8,0)</f>
        <v>2013984</v>
      </c>
      <c r="J528" s="2">
        <f>VLOOKUP(B528,'[1]FM MIX OSCAR'!$A:$I,9,0)</f>
        <v>149</v>
      </c>
    </row>
    <row r="529" spans="1:10" x14ac:dyDescent="0.3">
      <c r="A529" s="1">
        <v>528</v>
      </c>
      <c r="B529" s="7">
        <v>60194020</v>
      </c>
      <c r="C529" s="9" t="s">
        <v>1313</v>
      </c>
      <c r="D529" s="2"/>
      <c r="E529" s="9" t="s">
        <v>661</v>
      </c>
      <c r="F529" s="2">
        <v>1</v>
      </c>
      <c r="G529" s="9" t="s">
        <v>90</v>
      </c>
      <c r="H529" s="9" t="s">
        <v>662</v>
      </c>
      <c r="I529" s="2">
        <f>VLOOKUP(B529,'[1]FM MIX OSCAR'!$A:$I,8,0)</f>
        <v>6660.0000000000009</v>
      </c>
      <c r="J529" s="2">
        <f>VLOOKUP(B529,'[1]FM MIX OSCAR'!$A:$I,9,0)</f>
        <v>45</v>
      </c>
    </row>
    <row r="530" spans="1:10" x14ac:dyDescent="0.3">
      <c r="A530" s="1">
        <v>529</v>
      </c>
      <c r="B530" s="7">
        <v>60197325</v>
      </c>
      <c r="C530" s="9" t="s">
        <v>1313</v>
      </c>
      <c r="D530" s="2"/>
      <c r="E530" s="9" t="s">
        <v>523</v>
      </c>
      <c r="F530" s="2">
        <v>1</v>
      </c>
      <c r="G530" s="9" t="s">
        <v>90</v>
      </c>
      <c r="H530" s="9" t="s">
        <v>524</v>
      </c>
      <c r="I530" s="2">
        <f>VLOOKUP(B530,'[1]FM MIX OSCAR'!$A:$I,8,0)</f>
        <v>26425548</v>
      </c>
      <c r="J530" s="2">
        <f>VLOOKUP(B530,'[1]FM MIX OSCAR'!$A:$I,9,0)</f>
        <v>2</v>
      </c>
    </row>
    <row r="531" spans="1:10" x14ac:dyDescent="0.3">
      <c r="A531" s="1">
        <v>530</v>
      </c>
      <c r="B531" s="7">
        <v>60198935</v>
      </c>
      <c r="C531" s="9" t="s">
        <v>1313</v>
      </c>
      <c r="D531" s="2"/>
      <c r="E531" s="9" t="s">
        <v>401</v>
      </c>
      <c r="F531" s="2">
        <v>1</v>
      </c>
      <c r="G531" s="9" t="s">
        <v>90</v>
      </c>
      <c r="H531" s="9" t="s">
        <v>402</v>
      </c>
      <c r="I531" s="2">
        <f>VLOOKUP(B531,'[1]FM MIX OSCAR'!$A:$I,8,0)</f>
        <v>4780548</v>
      </c>
      <c r="J531" s="2"/>
    </row>
    <row r="532" spans="1:10" x14ac:dyDescent="0.3">
      <c r="A532" s="1">
        <v>531</v>
      </c>
      <c r="B532" s="7">
        <v>60199565</v>
      </c>
      <c r="C532" s="9" t="s">
        <v>1313</v>
      </c>
      <c r="D532" s="2"/>
      <c r="E532" s="9" t="s">
        <v>889</v>
      </c>
      <c r="F532" s="2">
        <v>2</v>
      </c>
      <c r="G532" s="9" t="s">
        <v>90</v>
      </c>
      <c r="H532" s="9" t="s">
        <v>890</v>
      </c>
      <c r="I532" s="2">
        <f>VLOOKUP(B532,'[1]FM MIX OSCAR'!$A:$I,8,0)</f>
        <v>415584.00000000012</v>
      </c>
      <c r="J532" s="2">
        <f>VLOOKUP(B532,'[1]FM MIX OSCAR'!$A:$I,9,0)</f>
        <v>5</v>
      </c>
    </row>
    <row r="533" spans="1:10" x14ac:dyDescent="0.3">
      <c r="A533" s="1">
        <v>532</v>
      </c>
      <c r="B533" s="7">
        <v>60199566</v>
      </c>
      <c r="C533" s="9" t="s">
        <v>1313</v>
      </c>
      <c r="D533" s="2"/>
      <c r="E533" s="9" t="s">
        <v>887</v>
      </c>
      <c r="F533" s="2">
        <v>2</v>
      </c>
      <c r="G533" s="9" t="s">
        <v>90</v>
      </c>
      <c r="H533" s="9" t="s">
        <v>888</v>
      </c>
      <c r="I533" s="2">
        <f>VLOOKUP(B533,'[1]FM MIX OSCAR'!$A:$I,8,0)</f>
        <v>55944.000000000007</v>
      </c>
      <c r="J533" s="2">
        <f>VLOOKUP(B533,'[1]FM MIX OSCAR'!$A:$I,9,0)</f>
        <v>2</v>
      </c>
    </row>
    <row r="534" spans="1:10" x14ac:dyDescent="0.3">
      <c r="A534" s="1">
        <v>533</v>
      </c>
      <c r="B534" s="7">
        <v>60209904</v>
      </c>
      <c r="C534" s="9" t="s">
        <v>1313</v>
      </c>
      <c r="D534" s="2"/>
      <c r="E534" s="9" t="s">
        <v>493</v>
      </c>
      <c r="F534" s="2">
        <v>1</v>
      </c>
      <c r="G534" s="9" t="s">
        <v>69</v>
      </c>
      <c r="H534" s="9" t="s">
        <v>494</v>
      </c>
      <c r="I534" s="2">
        <f>VLOOKUP(B534,'[1]FM MIX OSCAR'!$A:$I,8,0)</f>
        <v>460872.00000000012</v>
      </c>
      <c r="J534" s="2">
        <f>VLOOKUP(B534,'[1]FM MIX OSCAR'!$A:$I,9,0)</f>
        <v>174</v>
      </c>
    </row>
    <row r="535" spans="1:10" x14ac:dyDescent="0.3">
      <c r="A535" s="1">
        <v>534</v>
      </c>
      <c r="B535" s="7">
        <v>60209906</v>
      </c>
      <c r="C535" s="9" t="s">
        <v>1313</v>
      </c>
      <c r="D535" s="2"/>
      <c r="E535" s="9" t="s">
        <v>495</v>
      </c>
      <c r="F535" s="2">
        <v>3</v>
      </c>
      <c r="G535" s="9" t="s">
        <v>69</v>
      </c>
      <c r="H535" s="9" t="s">
        <v>496</v>
      </c>
      <c r="I535" s="2">
        <f>VLOOKUP(B535,'[1]FM MIX OSCAR'!$A:$I,8,0)</f>
        <v>500832.00000000012</v>
      </c>
      <c r="J535" s="2">
        <f>VLOOKUP(B535,'[1]FM MIX OSCAR'!$A:$I,9,0)</f>
        <v>239</v>
      </c>
    </row>
    <row r="536" spans="1:10" x14ac:dyDescent="0.3">
      <c r="A536" s="1">
        <v>535</v>
      </c>
      <c r="B536" s="7">
        <v>60212907</v>
      </c>
      <c r="C536" s="9" t="s">
        <v>1313</v>
      </c>
      <c r="D536" s="2"/>
      <c r="E536" s="9" t="s">
        <v>676</v>
      </c>
      <c r="F536" s="2">
        <v>2</v>
      </c>
      <c r="G536" s="9" t="s">
        <v>90</v>
      </c>
      <c r="H536" s="9" t="s">
        <v>677</v>
      </c>
      <c r="I536" s="2">
        <f>VLOOKUP(B536,'[1]FM MIX OSCAR'!$A:$I,8,0)</f>
        <v>474192.00000000012</v>
      </c>
      <c r="J536" s="2"/>
    </row>
    <row r="537" spans="1:10" x14ac:dyDescent="0.3">
      <c r="A537" s="1">
        <v>536</v>
      </c>
      <c r="B537" s="7">
        <v>60213186</v>
      </c>
      <c r="C537" s="9" t="s">
        <v>1313</v>
      </c>
      <c r="D537" s="2"/>
      <c r="E537" s="9" t="s">
        <v>678</v>
      </c>
      <c r="F537" s="2">
        <v>1</v>
      </c>
      <c r="G537" s="9" t="s">
        <v>90</v>
      </c>
      <c r="H537" s="9" t="s">
        <v>679</v>
      </c>
      <c r="I537" s="2">
        <f>VLOOKUP(B537,'[1]FM MIX OSCAR'!$A:$I,8,0)</f>
        <v>1479852</v>
      </c>
      <c r="J537" s="2">
        <f>VLOOKUP(B537,'[1]FM MIX OSCAR'!$A:$I,9,0)</f>
        <v>1</v>
      </c>
    </row>
    <row r="538" spans="1:10" x14ac:dyDescent="0.3">
      <c r="A538" s="1">
        <v>537</v>
      </c>
      <c r="B538" s="7">
        <v>60215480</v>
      </c>
      <c r="C538" s="9" t="s">
        <v>1313</v>
      </c>
      <c r="D538" s="2"/>
      <c r="E538" s="9" t="s">
        <v>497</v>
      </c>
      <c r="F538" s="2">
        <v>2</v>
      </c>
      <c r="G538" s="9" t="s">
        <v>69</v>
      </c>
      <c r="H538" s="9" t="s">
        <v>498</v>
      </c>
      <c r="I538" s="2">
        <f>VLOOKUP(B538,'[1]FM MIX OSCAR'!$A:$I,8,0)</f>
        <v>4648680</v>
      </c>
      <c r="J538" s="2">
        <f>VLOOKUP(B538,'[1]FM MIX OSCAR'!$A:$I,9,0)</f>
        <v>19</v>
      </c>
    </row>
    <row r="539" spans="1:10" x14ac:dyDescent="0.3">
      <c r="A539" s="1">
        <v>538</v>
      </c>
      <c r="B539" s="7">
        <v>60221141</v>
      </c>
      <c r="C539" s="9" t="s">
        <v>1313</v>
      </c>
      <c r="D539" s="2"/>
      <c r="E539" s="9" t="s">
        <v>191</v>
      </c>
      <c r="F539" s="2">
        <v>1</v>
      </c>
      <c r="G539" s="9" t="s">
        <v>90</v>
      </c>
      <c r="H539" s="9" t="s">
        <v>94</v>
      </c>
      <c r="I539" s="2"/>
      <c r="J539" s="2">
        <f>VLOOKUP(B539,'[1]FM MIX OSCAR'!$A:$I,9,0)</f>
        <v>1</v>
      </c>
    </row>
    <row r="540" spans="1:10" x14ac:dyDescent="0.3">
      <c r="A540" s="1">
        <v>539</v>
      </c>
      <c r="B540" s="7">
        <v>60223450</v>
      </c>
      <c r="C540" s="9" t="s">
        <v>1313</v>
      </c>
      <c r="D540" s="2"/>
      <c r="E540" s="9" t="s">
        <v>704</v>
      </c>
      <c r="F540" s="2">
        <v>11</v>
      </c>
      <c r="G540" s="9" t="s">
        <v>84</v>
      </c>
      <c r="H540" s="9" t="s">
        <v>705</v>
      </c>
      <c r="I540" s="2">
        <f>VLOOKUP(B540,'[1]FM MIX OSCAR'!$A:$I,8,0)</f>
        <v>3996</v>
      </c>
      <c r="J540" s="2"/>
    </row>
    <row r="541" spans="1:10" x14ac:dyDescent="0.3">
      <c r="A541" s="1">
        <v>540</v>
      </c>
      <c r="B541" s="7">
        <v>60225754</v>
      </c>
      <c r="C541" s="9" t="s">
        <v>1313</v>
      </c>
      <c r="D541" s="2"/>
      <c r="E541" s="9" t="s">
        <v>48</v>
      </c>
      <c r="F541" s="2">
        <v>1</v>
      </c>
      <c r="G541" s="9" t="s">
        <v>90</v>
      </c>
      <c r="H541" s="9" t="s">
        <v>100</v>
      </c>
      <c r="I541" s="2">
        <f>VLOOKUP(B541,'[1]FM MIX OSCAR'!$A:$I,8,0)</f>
        <v>534558240.00000012</v>
      </c>
      <c r="J541" s="2">
        <f>VLOOKUP(B541,'[1]FM MIX OSCAR'!$A:$I,9,0)</f>
        <v>5</v>
      </c>
    </row>
    <row r="542" spans="1:10" x14ac:dyDescent="0.3">
      <c r="A542" s="1">
        <v>541</v>
      </c>
      <c r="B542" s="7">
        <v>60227740</v>
      </c>
      <c r="C542" s="9" t="s">
        <v>1313</v>
      </c>
      <c r="D542" s="2"/>
      <c r="E542" s="9" t="s">
        <v>60</v>
      </c>
      <c r="F542" s="2">
        <v>1</v>
      </c>
      <c r="G542" s="9" t="s">
        <v>90</v>
      </c>
      <c r="H542" s="9" t="s">
        <v>556</v>
      </c>
      <c r="I542" s="2">
        <f>VLOOKUP(B542,'[1]FM MIX OSCAR'!$A:$I,8,0)</f>
        <v>2406924</v>
      </c>
      <c r="J542" s="2">
        <f>VLOOKUP(B542,'[1]FM MIX OSCAR'!$A:$I,9,0)</f>
        <v>5</v>
      </c>
    </row>
    <row r="543" spans="1:10" x14ac:dyDescent="0.3">
      <c r="A543" s="1">
        <v>542</v>
      </c>
      <c r="B543" s="7">
        <v>60236116</v>
      </c>
      <c r="C543" s="9" t="s">
        <v>1313</v>
      </c>
      <c r="D543" s="2"/>
      <c r="E543" s="9" t="s">
        <v>719</v>
      </c>
      <c r="F543" s="2">
        <v>1</v>
      </c>
      <c r="G543" s="9" t="s">
        <v>90</v>
      </c>
      <c r="H543" s="9" t="s">
        <v>720</v>
      </c>
      <c r="I543" s="2">
        <f>VLOOKUP(B543,'[1]FM MIX OSCAR'!$A:$I,8,0)</f>
        <v>646020</v>
      </c>
      <c r="J543" s="2"/>
    </row>
    <row r="544" spans="1:10" x14ac:dyDescent="0.3">
      <c r="A544" s="1">
        <v>543</v>
      </c>
      <c r="B544" s="7">
        <v>60236117</v>
      </c>
      <c r="C544" s="9" t="s">
        <v>1313</v>
      </c>
      <c r="D544" s="2"/>
      <c r="E544" s="9" t="s">
        <v>721</v>
      </c>
      <c r="F544" s="2">
        <v>1</v>
      </c>
      <c r="G544" s="9" t="s">
        <v>90</v>
      </c>
      <c r="H544" s="9" t="s">
        <v>722</v>
      </c>
      <c r="I544" s="2">
        <f>VLOOKUP(B544,'[1]FM MIX OSCAR'!$A:$I,8,0)</f>
        <v>646020</v>
      </c>
      <c r="J544" s="2">
        <f>VLOOKUP(B544,'[1]FM MIX OSCAR'!$A:$I,9,0)</f>
        <v>50</v>
      </c>
    </row>
    <row r="545" spans="1:10" x14ac:dyDescent="0.3">
      <c r="A545" s="1">
        <v>544</v>
      </c>
      <c r="B545" s="7">
        <v>60237512</v>
      </c>
      <c r="C545" s="9" t="s">
        <v>1313</v>
      </c>
      <c r="D545" s="2"/>
      <c r="E545" s="9" t="s">
        <v>518</v>
      </c>
      <c r="F545" s="2">
        <v>1</v>
      </c>
      <c r="G545" s="9" t="s">
        <v>90</v>
      </c>
      <c r="H545" s="9" t="s">
        <v>520</v>
      </c>
      <c r="I545" s="2">
        <f>VLOOKUP(B545,'[1]FM MIX OSCAR'!$A:$I,8,0)</f>
        <v>24058584</v>
      </c>
      <c r="J545" s="2">
        <f>VLOOKUP(B545,'[1]FM MIX OSCAR'!$A:$I,9,0)</f>
        <v>6</v>
      </c>
    </row>
    <row r="546" spans="1:10" x14ac:dyDescent="0.3">
      <c r="A546" s="1">
        <v>545</v>
      </c>
      <c r="B546" s="7">
        <v>60255461</v>
      </c>
      <c r="C546" s="9" t="s">
        <v>1313</v>
      </c>
      <c r="D546" s="2"/>
      <c r="E546" s="9" t="s">
        <v>929</v>
      </c>
      <c r="F546" s="2">
        <v>1</v>
      </c>
      <c r="G546" s="9" t="s">
        <v>90</v>
      </c>
      <c r="H546" s="9" t="s">
        <v>930</v>
      </c>
      <c r="I546" s="2">
        <f>VLOOKUP(B546,'[1]FM MIX OSCAR'!$A:$I,8,0)</f>
        <v>133200</v>
      </c>
      <c r="J546" s="2">
        <f>VLOOKUP(B546,'[1]FM MIX OSCAR'!$A:$I,9,0)</f>
        <v>9</v>
      </c>
    </row>
    <row r="547" spans="1:10" x14ac:dyDescent="0.3">
      <c r="A547" s="1">
        <v>546</v>
      </c>
      <c r="B547" s="7">
        <v>60256422</v>
      </c>
      <c r="C547" s="9" t="s">
        <v>1313</v>
      </c>
      <c r="D547" s="2"/>
      <c r="E547" s="9" t="s">
        <v>893</v>
      </c>
      <c r="F547" s="2">
        <v>1</v>
      </c>
      <c r="G547" s="9" t="s">
        <v>151</v>
      </c>
      <c r="H547" s="9" t="s">
        <v>894</v>
      </c>
      <c r="I547" s="2">
        <f>VLOOKUP(B547,'[1]FM MIX OSCAR'!$A:$I,8,0)</f>
        <v>2907756</v>
      </c>
      <c r="J547" s="2">
        <f>VLOOKUP(B547,'[1]FM MIX OSCAR'!$A:$I,9,0)</f>
        <v>13</v>
      </c>
    </row>
    <row r="548" spans="1:10" x14ac:dyDescent="0.3">
      <c r="A548" s="1">
        <v>547</v>
      </c>
      <c r="B548" s="7">
        <v>60272456</v>
      </c>
      <c r="C548" s="9" t="s">
        <v>1313</v>
      </c>
      <c r="D548" s="2"/>
      <c r="E548" s="9" t="s">
        <v>429</v>
      </c>
      <c r="F548" s="2">
        <v>2</v>
      </c>
      <c r="G548" s="9" t="s">
        <v>84</v>
      </c>
      <c r="H548" s="9" t="s">
        <v>430</v>
      </c>
      <c r="I548" s="2">
        <f>VLOOKUP(B548,'[1]FM MIX OSCAR'!$A:$I,8,0)</f>
        <v>33300</v>
      </c>
      <c r="J548" s="2">
        <f>VLOOKUP(B548,'[1]FM MIX OSCAR'!$A:$I,9,0)</f>
        <v>53</v>
      </c>
    </row>
    <row r="549" spans="1:10" x14ac:dyDescent="0.3">
      <c r="A549" s="1">
        <v>548</v>
      </c>
      <c r="B549" s="7">
        <v>60272458</v>
      </c>
      <c r="C549" s="9" t="s">
        <v>1313</v>
      </c>
      <c r="D549" s="2"/>
      <c r="E549" s="9" t="s">
        <v>431</v>
      </c>
      <c r="F549" s="2">
        <v>2</v>
      </c>
      <c r="G549" s="9" t="s">
        <v>84</v>
      </c>
      <c r="H549" s="9" t="s">
        <v>432</v>
      </c>
      <c r="I549" s="2">
        <f>VLOOKUP(B549,'[1]FM MIX OSCAR'!$A:$I,8,0)</f>
        <v>45288</v>
      </c>
      <c r="J549" s="2">
        <f>VLOOKUP(B549,'[1]FM MIX OSCAR'!$A:$I,9,0)</f>
        <v>5</v>
      </c>
    </row>
    <row r="550" spans="1:10" x14ac:dyDescent="0.3">
      <c r="A550" s="1">
        <v>549</v>
      </c>
      <c r="B550" s="7">
        <v>60272538</v>
      </c>
      <c r="C550" s="9" t="s">
        <v>1313</v>
      </c>
      <c r="D550" s="2"/>
      <c r="E550" s="9" t="s">
        <v>744</v>
      </c>
      <c r="F550" s="2">
        <v>1</v>
      </c>
      <c r="G550" s="9" t="s">
        <v>151</v>
      </c>
      <c r="H550" s="9" t="s">
        <v>745</v>
      </c>
      <c r="I550" s="2">
        <f>VLOOKUP(B550,'[1]FM MIX OSCAR'!$A:$I,8,0)</f>
        <v>25308</v>
      </c>
      <c r="J550" s="2"/>
    </row>
    <row r="551" spans="1:10" x14ac:dyDescent="0.3">
      <c r="A551" s="1">
        <v>550</v>
      </c>
      <c r="B551" s="7">
        <v>60272960</v>
      </c>
      <c r="C551" s="9" t="s">
        <v>1313</v>
      </c>
      <c r="D551" s="2"/>
      <c r="E551" s="9" t="s">
        <v>431</v>
      </c>
      <c r="F551" s="2">
        <v>4</v>
      </c>
      <c r="G551" s="9" t="s">
        <v>84</v>
      </c>
      <c r="H551" s="9" t="s">
        <v>465</v>
      </c>
      <c r="I551" s="2">
        <f>VLOOKUP(B551,'[1]FM MIX OSCAR'!$A:$I,8,0)</f>
        <v>1198.8</v>
      </c>
      <c r="J551" s="2">
        <f>VLOOKUP(B551,'[1]FM MIX OSCAR'!$A:$I,9,0)</f>
        <v>156</v>
      </c>
    </row>
    <row r="552" spans="1:10" x14ac:dyDescent="0.3">
      <c r="A552" s="1">
        <v>551</v>
      </c>
      <c r="B552" s="7">
        <v>60276980</v>
      </c>
      <c r="C552" s="9" t="s">
        <v>1313</v>
      </c>
      <c r="D552" s="2"/>
      <c r="E552" s="9" t="s">
        <v>170</v>
      </c>
      <c r="F552" s="2">
        <v>2</v>
      </c>
      <c r="G552" s="9" t="s">
        <v>69</v>
      </c>
      <c r="H552" s="9" t="s">
        <v>503</v>
      </c>
      <c r="I552" s="2">
        <f>VLOOKUP(B552,'[1]FM MIX OSCAR'!$A:$I,8,0)</f>
        <v>6161832</v>
      </c>
      <c r="J552" s="2"/>
    </row>
    <row r="553" spans="1:10" x14ac:dyDescent="0.3">
      <c r="A553" s="1">
        <v>552</v>
      </c>
      <c r="B553" s="7">
        <v>60278222</v>
      </c>
      <c r="C553" s="9" t="s">
        <v>1313</v>
      </c>
      <c r="D553" s="2"/>
      <c r="E553" s="9" t="s">
        <v>446</v>
      </c>
      <c r="F553" s="2">
        <v>1</v>
      </c>
      <c r="G553" s="9" t="s">
        <v>69</v>
      </c>
      <c r="H553" s="9" t="s">
        <v>447</v>
      </c>
      <c r="I553" s="2">
        <f>VLOOKUP(B553,'[1]FM MIX OSCAR'!$A:$I,8,0)</f>
        <v>8131860.0000000009</v>
      </c>
      <c r="J553" s="2"/>
    </row>
    <row r="554" spans="1:10" x14ac:dyDescent="0.3">
      <c r="A554" s="1">
        <v>553</v>
      </c>
      <c r="B554" s="7">
        <v>60284040</v>
      </c>
      <c r="C554" s="9" t="s">
        <v>1313</v>
      </c>
      <c r="D554" s="2"/>
      <c r="E554" s="9" t="s">
        <v>365</v>
      </c>
      <c r="F554" s="2">
        <v>1</v>
      </c>
      <c r="G554" s="9" t="s">
        <v>90</v>
      </c>
      <c r="H554" s="9" t="s">
        <v>366</v>
      </c>
      <c r="I554" s="2">
        <f>VLOOKUP(B554,'[1]FM MIX OSCAR'!$A:$I,8,0)</f>
        <v>61272.000000000007</v>
      </c>
      <c r="J554" s="2">
        <f>VLOOKUP(B554,'[1]FM MIX OSCAR'!$A:$I,9,0)</f>
        <v>4</v>
      </c>
    </row>
    <row r="555" spans="1:10" x14ac:dyDescent="0.3">
      <c r="A555" s="1">
        <v>554</v>
      </c>
      <c r="B555" s="7">
        <v>60286048</v>
      </c>
      <c r="C555" s="9" t="s">
        <v>1313</v>
      </c>
      <c r="D555" s="2"/>
      <c r="E555" s="9" t="s">
        <v>668</v>
      </c>
      <c r="F555" s="2">
        <v>1</v>
      </c>
      <c r="G555" s="9" t="s">
        <v>90</v>
      </c>
      <c r="H555" s="9" t="s">
        <v>669</v>
      </c>
      <c r="I555" s="2">
        <f>VLOOKUP(B555,'[1]FM MIX OSCAR'!$A:$I,8,0)</f>
        <v>424908.00000000012</v>
      </c>
      <c r="J555" s="2"/>
    </row>
    <row r="556" spans="1:10" x14ac:dyDescent="0.3">
      <c r="A556" s="1">
        <v>555</v>
      </c>
      <c r="B556" s="7">
        <v>60288834</v>
      </c>
      <c r="C556" s="9" t="s">
        <v>1313</v>
      </c>
      <c r="D556" s="2"/>
      <c r="E556" s="9" t="s">
        <v>370</v>
      </c>
      <c r="F556" s="2">
        <v>1</v>
      </c>
      <c r="G556" s="9" t="s">
        <v>90</v>
      </c>
      <c r="H556" s="9" t="s">
        <v>371</v>
      </c>
      <c r="I556" s="2">
        <f>VLOOKUP(B556,'[1]FM MIX OSCAR'!$A:$I,8,0)</f>
        <v>659340</v>
      </c>
      <c r="J556" s="2">
        <f>VLOOKUP(B556,'[1]FM MIX OSCAR'!$A:$I,9,0)</f>
        <v>10</v>
      </c>
    </row>
    <row r="557" spans="1:10" x14ac:dyDescent="0.3">
      <c r="A557" s="1">
        <v>556</v>
      </c>
      <c r="B557" s="7">
        <v>60308391</v>
      </c>
      <c r="C557" s="9" t="s">
        <v>1313</v>
      </c>
      <c r="D557" s="2"/>
      <c r="E557" s="9" t="s">
        <v>367</v>
      </c>
      <c r="F557" s="2">
        <v>2</v>
      </c>
      <c r="G557" s="9" t="s">
        <v>90</v>
      </c>
      <c r="H557" s="9" t="s">
        <v>456</v>
      </c>
      <c r="I557" s="2">
        <f>VLOOKUP(B557,'[1]FM MIX OSCAR'!$A:$I,8,0)</f>
        <v>9325332</v>
      </c>
      <c r="J557" s="2"/>
    </row>
    <row r="558" spans="1:10" x14ac:dyDescent="0.3">
      <c r="A558" s="1">
        <v>557</v>
      </c>
      <c r="B558" s="7">
        <v>60308392</v>
      </c>
      <c r="C558" s="9" t="s">
        <v>1313</v>
      </c>
      <c r="D558" s="2"/>
      <c r="E558" s="9" t="s">
        <v>513</v>
      </c>
      <c r="F558" s="2">
        <v>2</v>
      </c>
      <c r="G558" s="9" t="s">
        <v>90</v>
      </c>
      <c r="H558" s="9" t="s">
        <v>514</v>
      </c>
      <c r="I558" s="2">
        <f>VLOOKUP(B558,'[1]FM MIX OSCAR'!$A:$I,8,0)</f>
        <v>16446204</v>
      </c>
      <c r="J558" s="2"/>
    </row>
    <row r="559" spans="1:10" x14ac:dyDescent="0.3">
      <c r="A559" s="1">
        <v>558</v>
      </c>
      <c r="B559" s="7">
        <v>60327523</v>
      </c>
      <c r="C559" s="9" t="s">
        <v>1313</v>
      </c>
      <c r="D559" s="2"/>
      <c r="E559" s="9" t="s">
        <v>294</v>
      </c>
      <c r="F559" s="2">
        <v>1</v>
      </c>
      <c r="G559" s="9" t="s">
        <v>63</v>
      </c>
      <c r="H559" s="9" t="s">
        <v>295</v>
      </c>
      <c r="I559" s="2">
        <f>VLOOKUP(B559,'[1]FM MIX OSCAR'!$A:$I,8,0)</f>
        <v>178488</v>
      </c>
      <c r="J559" s="2"/>
    </row>
    <row r="560" spans="1:10" x14ac:dyDescent="0.3">
      <c r="A560" s="1">
        <v>559</v>
      </c>
      <c r="B560" s="7">
        <v>60328867</v>
      </c>
      <c r="C560" s="9" t="s">
        <v>1313</v>
      </c>
      <c r="D560" s="2"/>
      <c r="E560" s="9" t="s">
        <v>437</v>
      </c>
      <c r="F560" s="2">
        <v>2</v>
      </c>
      <c r="G560" s="9" t="s">
        <v>63</v>
      </c>
      <c r="H560" s="9" t="s">
        <v>64</v>
      </c>
      <c r="I560" s="2">
        <f>VLOOKUP(B560,'[1]FM MIX OSCAR'!$A:$I,8,0)</f>
        <v>110556</v>
      </c>
      <c r="J560" s="2">
        <f>VLOOKUP(B560,'[1]FM MIX OSCAR'!$A:$I,9,0)</f>
        <v>234</v>
      </c>
    </row>
    <row r="561" spans="1:10" x14ac:dyDescent="0.3">
      <c r="A561" s="1">
        <v>560</v>
      </c>
      <c r="B561" s="7">
        <v>60330808</v>
      </c>
      <c r="C561" s="9" t="s">
        <v>1313</v>
      </c>
      <c r="D561" s="2"/>
      <c r="E561" s="9" t="s">
        <v>368</v>
      </c>
      <c r="F561" s="2">
        <v>1</v>
      </c>
      <c r="G561" s="9" t="s">
        <v>90</v>
      </c>
      <c r="H561" s="9" t="s">
        <v>369</v>
      </c>
      <c r="I561" s="2">
        <f>VLOOKUP(B561,'[1]FM MIX OSCAR'!$A:$I,8,0)</f>
        <v>290376</v>
      </c>
      <c r="J561" s="2"/>
    </row>
    <row r="562" spans="1:10" x14ac:dyDescent="0.3">
      <c r="A562" s="1">
        <v>561</v>
      </c>
      <c r="B562" s="7">
        <v>60335017</v>
      </c>
      <c r="C562" s="9" t="s">
        <v>1313</v>
      </c>
      <c r="D562" s="2"/>
      <c r="E562" s="9" t="s">
        <v>941</v>
      </c>
      <c r="F562" s="2">
        <v>1</v>
      </c>
      <c r="G562" s="9" t="s">
        <v>167</v>
      </c>
      <c r="H562" s="9" t="s">
        <v>942</v>
      </c>
      <c r="I562" s="2">
        <f>VLOOKUP(B562,'[1]FM MIX OSCAR'!$A:$I,8,0)</f>
        <v>89244</v>
      </c>
      <c r="J562" s="2"/>
    </row>
    <row r="563" spans="1:10" x14ac:dyDescent="0.3">
      <c r="A563" s="1">
        <v>562</v>
      </c>
      <c r="B563" s="7">
        <v>60335115</v>
      </c>
      <c r="C563" s="9" t="s">
        <v>1313</v>
      </c>
      <c r="D563" s="2"/>
      <c r="E563" s="9" t="s">
        <v>836</v>
      </c>
      <c r="F563" s="2">
        <v>4</v>
      </c>
      <c r="G563" s="9" t="s">
        <v>84</v>
      </c>
      <c r="H563" s="9" t="s">
        <v>627</v>
      </c>
      <c r="I563" s="2">
        <f>VLOOKUP(B563,'[1]FM MIX OSCAR'!$A:$I,8,0)</f>
        <v>78588</v>
      </c>
      <c r="J563" s="2">
        <f>VLOOKUP(B563,'[1]FM MIX OSCAR'!$A:$I,9,0)</f>
        <v>6224</v>
      </c>
    </row>
    <row r="564" spans="1:10" x14ac:dyDescent="0.3">
      <c r="A564" s="1">
        <v>563</v>
      </c>
      <c r="B564" s="7">
        <v>60335119</v>
      </c>
      <c r="C564" s="9" t="s">
        <v>1313</v>
      </c>
      <c r="D564" s="2"/>
      <c r="E564" s="9" t="s">
        <v>834</v>
      </c>
      <c r="F564" s="2">
        <v>4</v>
      </c>
      <c r="G564" s="9" t="s">
        <v>84</v>
      </c>
      <c r="H564" s="9" t="s">
        <v>835</v>
      </c>
      <c r="I564" s="2">
        <f>VLOOKUP(B564,'[1]FM MIX OSCAR'!$A:$I,8,0)</f>
        <v>63936.000000000007</v>
      </c>
      <c r="J564" s="2">
        <f>VLOOKUP(B564,'[1]FM MIX OSCAR'!$A:$I,9,0)</f>
        <v>6</v>
      </c>
    </row>
    <row r="565" spans="1:10" x14ac:dyDescent="0.3">
      <c r="A565" s="1">
        <v>564</v>
      </c>
      <c r="B565" s="7">
        <v>60335181</v>
      </c>
      <c r="C565" s="9" t="s">
        <v>1313</v>
      </c>
      <c r="D565" s="2"/>
      <c r="E565" s="9" t="s">
        <v>842</v>
      </c>
      <c r="F565" s="2">
        <v>1</v>
      </c>
      <c r="G565" s="9" t="s">
        <v>90</v>
      </c>
      <c r="H565" s="9" t="s">
        <v>843</v>
      </c>
      <c r="I565" s="2">
        <f>VLOOKUP(B565,'[1]FM MIX OSCAR'!$A:$I,8,0)</f>
        <v>616716</v>
      </c>
      <c r="J565" s="2"/>
    </row>
    <row r="566" spans="1:10" x14ac:dyDescent="0.3">
      <c r="A566" s="1">
        <v>565</v>
      </c>
      <c r="B566" s="7">
        <v>60335182</v>
      </c>
      <c r="C566" s="9" t="s">
        <v>1313</v>
      </c>
      <c r="D566" s="2"/>
      <c r="E566" s="9" t="s">
        <v>844</v>
      </c>
      <c r="F566" s="2">
        <v>2</v>
      </c>
      <c r="G566" s="9" t="s">
        <v>90</v>
      </c>
      <c r="H566" s="9" t="s">
        <v>845</v>
      </c>
      <c r="I566" s="2">
        <f>VLOOKUP(B566,'[1]FM MIX OSCAR'!$A:$I,8,0)</f>
        <v>616716</v>
      </c>
      <c r="J566" s="2">
        <f>VLOOKUP(B566,'[1]FM MIX OSCAR'!$A:$I,9,0)</f>
        <v>3</v>
      </c>
    </row>
    <row r="567" spans="1:10" x14ac:dyDescent="0.3">
      <c r="A567" s="1">
        <v>566</v>
      </c>
      <c r="B567" s="7">
        <v>60339514</v>
      </c>
      <c r="C567" s="9" t="s">
        <v>1313</v>
      </c>
      <c r="D567" s="2"/>
      <c r="E567" s="9" t="s">
        <v>733</v>
      </c>
      <c r="F567" s="2">
        <v>6</v>
      </c>
      <c r="G567" s="9" t="s">
        <v>151</v>
      </c>
      <c r="H567" s="9" t="s">
        <v>734</v>
      </c>
      <c r="I567" s="2">
        <f>VLOOKUP(B567,'[1]FM MIX OSCAR'!$A:$I,8,0)</f>
        <v>390276</v>
      </c>
      <c r="J567" s="2">
        <f>VLOOKUP(B567,'[1]FM MIX OSCAR'!$A:$I,9,0)</f>
        <v>26</v>
      </c>
    </row>
    <row r="568" spans="1:10" x14ac:dyDescent="0.3">
      <c r="A568" s="1">
        <v>567</v>
      </c>
      <c r="B568" s="7">
        <v>60339516</v>
      </c>
      <c r="C568" s="9" t="s">
        <v>1313</v>
      </c>
      <c r="D568" s="2"/>
      <c r="E568" s="9" t="s">
        <v>746</v>
      </c>
      <c r="F568" s="2">
        <v>6</v>
      </c>
      <c r="G568" s="9" t="s">
        <v>151</v>
      </c>
      <c r="H568" s="9" t="s">
        <v>747</v>
      </c>
      <c r="I568" s="2">
        <f>VLOOKUP(B568,'[1]FM MIX OSCAR'!$A:$I,8,0)</f>
        <v>395604</v>
      </c>
      <c r="J568" s="2">
        <f>VLOOKUP(B568,'[1]FM MIX OSCAR'!$A:$I,9,0)</f>
        <v>65</v>
      </c>
    </row>
    <row r="569" spans="1:10" x14ac:dyDescent="0.3">
      <c r="A569" s="1">
        <v>568</v>
      </c>
      <c r="B569" s="7">
        <v>60339521</v>
      </c>
      <c r="C569" s="9" t="s">
        <v>1313</v>
      </c>
      <c r="D569" s="2"/>
      <c r="E569" s="9" t="s">
        <v>331</v>
      </c>
      <c r="F569" s="2">
        <v>1</v>
      </c>
      <c r="G569" s="9" t="s">
        <v>90</v>
      </c>
      <c r="H569" s="9" t="s">
        <v>791</v>
      </c>
      <c r="I569" s="2">
        <f>VLOOKUP(B569,'[1]FM MIX OSCAR'!$A:$I,8,0)</f>
        <v>1405260</v>
      </c>
      <c r="J569" s="2"/>
    </row>
    <row r="570" spans="1:10" x14ac:dyDescent="0.3">
      <c r="A570" s="1">
        <v>569</v>
      </c>
      <c r="B570" s="7">
        <v>60339522</v>
      </c>
      <c r="C570" s="9" t="s">
        <v>1313</v>
      </c>
      <c r="D570" s="2"/>
      <c r="E570" s="9" t="s">
        <v>291</v>
      </c>
      <c r="F570" s="2">
        <v>1</v>
      </c>
      <c r="G570" s="9" t="s">
        <v>84</v>
      </c>
      <c r="H570" s="9" t="s">
        <v>790</v>
      </c>
      <c r="I570" s="2">
        <f>VLOOKUP(B570,'[1]FM MIX OSCAR'!$A:$I,8,0)</f>
        <v>310356</v>
      </c>
      <c r="J570" s="2">
        <f>VLOOKUP(B570,'[1]FM MIX OSCAR'!$A:$I,9,0)</f>
        <v>82</v>
      </c>
    </row>
    <row r="571" spans="1:10" x14ac:dyDescent="0.3">
      <c r="A571" s="1">
        <v>570</v>
      </c>
      <c r="B571" s="7">
        <v>60339523</v>
      </c>
      <c r="C571" s="9" t="s">
        <v>1313</v>
      </c>
      <c r="D571" s="2"/>
      <c r="E571" s="9" t="s">
        <v>324</v>
      </c>
      <c r="F571" s="2">
        <v>1</v>
      </c>
      <c r="G571" s="9" t="s">
        <v>84</v>
      </c>
      <c r="H571" s="9" t="s">
        <v>86</v>
      </c>
      <c r="I571" s="2">
        <f>VLOOKUP(B571,'[1]FM MIX OSCAR'!$A:$I,8,0)</f>
        <v>352980</v>
      </c>
      <c r="J571" s="2">
        <f>VLOOKUP(B571,'[1]FM MIX OSCAR'!$A:$I,9,0)</f>
        <v>19</v>
      </c>
    </row>
    <row r="572" spans="1:10" x14ac:dyDescent="0.3">
      <c r="A572" s="1">
        <v>571</v>
      </c>
      <c r="B572" s="7">
        <v>60341045</v>
      </c>
      <c r="C572" s="9" t="s">
        <v>1313</v>
      </c>
      <c r="D572" s="2"/>
      <c r="E572" s="9" t="s">
        <v>586</v>
      </c>
      <c r="F572" s="2">
        <v>1</v>
      </c>
      <c r="G572" s="9" t="s">
        <v>90</v>
      </c>
      <c r="H572" s="9" t="s">
        <v>587</v>
      </c>
      <c r="I572" s="2">
        <f>VLOOKUP(B572,'[1]FM MIX OSCAR'!$A:$I,8,0)</f>
        <v>1625040</v>
      </c>
      <c r="J572" s="2"/>
    </row>
    <row r="573" spans="1:10" x14ac:dyDescent="0.3">
      <c r="A573" s="1">
        <v>572</v>
      </c>
      <c r="B573" s="7">
        <v>60344882</v>
      </c>
      <c r="C573" s="9" t="s">
        <v>1313</v>
      </c>
      <c r="D573" s="2"/>
      <c r="E573" s="9" t="s">
        <v>574</v>
      </c>
      <c r="F573" s="2">
        <v>1</v>
      </c>
      <c r="G573" s="9" t="s">
        <v>90</v>
      </c>
      <c r="H573" s="9" t="s">
        <v>575</v>
      </c>
      <c r="I573" s="2">
        <f>VLOOKUP(B573,'[1]FM MIX OSCAR'!$A:$I,8,0)</f>
        <v>1534464</v>
      </c>
      <c r="J573" s="2">
        <f>VLOOKUP(B573,'[1]FM MIX OSCAR'!$A:$I,9,0)</f>
        <v>9</v>
      </c>
    </row>
    <row r="574" spans="1:10" x14ac:dyDescent="0.3">
      <c r="A574" s="1">
        <v>573</v>
      </c>
      <c r="B574" s="7">
        <v>60345316</v>
      </c>
      <c r="C574" s="9" t="s">
        <v>1313</v>
      </c>
      <c r="D574" s="2"/>
      <c r="E574" s="9" t="s">
        <v>350</v>
      </c>
      <c r="F574" s="2">
        <v>1</v>
      </c>
      <c r="G574" s="9" t="s">
        <v>69</v>
      </c>
      <c r="H574" s="9" t="s">
        <v>351</v>
      </c>
      <c r="I574" s="2">
        <f>VLOOKUP(B574,'[1]FM MIX OSCAR'!$A:$I,8,0)</f>
        <v>527472</v>
      </c>
      <c r="J574" s="2"/>
    </row>
    <row r="575" spans="1:10" x14ac:dyDescent="0.3">
      <c r="A575" s="1">
        <v>574</v>
      </c>
      <c r="B575" s="7">
        <v>60352051</v>
      </c>
      <c r="C575" s="9" t="s">
        <v>1313</v>
      </c>
      <c r="D575" s="2"/>
      <c r="E575" s="9" t="s">
        <v>253</v>
      </c>
      <c r="F575" s="2">
        <v>2</v>
      </c>
      <c r="G575" s="9" t="s">
        <v>84</v>
      </c>
      <c r="H575" s="9" t="s">
        <v>390</v>
      </c>
      <c r="I575" s="2">
        <f>VLOOKUP(B575,'[1]FM MIX OSCAR'!$A:$I,8,0)</f>
        <v>817848.00000000012</v>
      </c>
      <c r="J575" s="2">
        <f>VLOOKUP(B575,'[1]FM MIX OSCAR'!$A:$I,9,0)</f>
        <v>2</v>
      </c>
    </row>
    <row r="576" spans="1:10" x14ac:dyDescent="0.3">
      <c r="A576" s="1">
        <v>575</v>
      </c>
      <c r="B576" s="7">
        <v>60352064</v>
      </c>
      <c r="C576" s="9" t="s">
        <v>1313</v>
      </c>
      <c r="D576" s="2"/>
      <c r="E576" s="9" t="s">
        <v>783</v>
      </c>
      <c r="F576" s="2">
        <v>6</v>
      </c>
      <c r="G576" s="9" t="s">
        <v>84</v>
      </c>
      <c r="H576" s="9" t="s">
        <v>784</v>
      </c>
      <c r="I576" s="2">
        <f>VLOOKUP(B576,'[1]FM MIX OSCAR'!$A:$I,8,0)</f>
        <v>23976</v>
      </c>
      <c r="J576" s="2">
        <f>VLOOKUP(B576,'[1]FM MIX OSCAR'!$A:$I,9,0)</f>
        <v>75</v>
      </c>
    </row>
    <row r="577" spans="1:10" x14ac:dyDescent="0.3">
      <c r="A577" s="1">
        <v>576</v>
      </c>
      <c r="B577" s="7">
        <v>60352085</v>
      </c>
      <c r="C577" s="9" t="s">
        <v>1313</v>
      </c>
      <c r="D577" s="2"/>
      <c r="E577" s="9" t="s">
        <v>735</v>
      </c>
      <c r="F577" s="2">
        <v>6</v>
      </c>
      <c r="G577" s="9" t="s">
        <v>90</v>
      </c>
      <c r="H577" s="9" t="s">
        <v>735</v>
      </c>
      <c r="I577" s="2">
        <f>VLOOKUP(B577,'[1]FM MIX OSCAR'!$A:$I,8,0)</f>
        <v>1313352</v>
      </c>
      <c r="J577" s="2">
        <f>VLOOKUP(B577,'[1]FM MIX OSCAR'!$A:$I,9,0)</f>
        <v>3</v>
      </c>
    </row>
    <row r="578" spans="1:10" x14ac:dyDescent="0.3">
      <c r="A578" s="1">
        <v>577</v>
      </c>
      <c r="B578" s="7">
        <v>60352090</v>
      </c>
      <c r="C578" s="9" t="s">
        <v>1313</v>
      </c>
      <c r="D578" s="2"/>
      <c r="E578" s="9" t="s">
        <v>795</v>
      </c>
      <c r="F578" s="2">
        <v>1</v>
      </c>
      <c r="G578" s="9" t="s">
        <v>90</v>
      </c>
      <c r="H578" s="9" t="s">
        <v>796</v>
      </c>
      <c r="I578" s="2">
        <f>VLOOKUP(B578,'[1]FM MIX OSCAR'!$A:$I,8,0)</f>
        <v>321012</v>
      </c>
      <c r="J578" s="2">
        <f>VLOOKUP(B578,'[1]FM MIX OSCAR'!$A:$I,9,0)</f>
        <v>46</v>
      </c>
    </row>
    <row r="579" spans="1:10" x14ac:dyDescent="0.3">
      <c r="A579" s="1">
        <v>578</v>
      </c>
      <c r="B579" s="7">
        <v>60352099</v>
      </c>
      <c r="C579" s="9" t="s">
        <v>1313</v>
      </c>
      <c r="D579" s="2"/>
      <c r="E579" s="9" t="s">
        <v>738</v>
      </c>
      <c r="F579" s="2">
        <v>6</v>
      </c>
      <c r="G579" s="9" t="s">
        <v>151</v>
      </c>
      <c r="H579" s="9" t="s">
        <v>739</v>
      </c>
      <c r="I579" s="2">
        <f>VLOOKUP(B579,'[1]FM MIX OSCAR'!$A:$I,8,0)</f>
        <v>145188</v>
      </c>
      <c r="J579" s="2">
        <f>VLOOKUP(B579,'[1]FM MIX OSCAR'!$A:$I,9,0)</f>
        <v>48</v>
      </c>
    </row>
    <row r="580" spans="1:10" x14ac:dyDescent="0.3">
      <c r="A580" s="1">
        <v>579</v>
      </c>
      <c r="B580" s="7">
        <v>60352101</v>
      </c>
      <c r="C580" s="9" t="s">
        <v>1313</v>
      </c>
      <c r="D580" s="2"/>
      <c r="E580" s="9" t="s">
        <v>740</v>
      </c>
      <c r="F580" s="2">
        <v>6</v>
      </c>
      <c r="G580" s="9" t="s">
        <v>151</v>
      </c>
      <c r="H580" s="9" t="s">
        <v>741</v>
      </c>
      <c r="I580" s="2">
        <f>VLOOKUP(B580,'[1]FM MIX OSCAR'!$A:$I,8,0)</f>
        <v>213120</v>
      </c>
      <c r="J580" s="2">
        <f>VLOOKUP(B580,'[1]FM MIX OSCAR'!$A:$I,9,0)</f>
        <v>77</v>
      </c>
    </row>
    <row r="581" spans="1:10" x14ac:dyDescent="0.3">
      <c r="A581" s="1">
        <v>580</v>
      </c>
      <c r="B581" s="7">
        <v>60352125</v>
      </c>
      <c r="C581" s="9" t="s">
        <v>1313</v>
      </c>
      <c r="D581" s="2"/>
      <c r="E581" s="9" t="s">
        <v>797</v>
      </c>
      <c r="F581" s="2">
        <v>1</v>
      </c>
      <c r="G581" s="9" t="s">
        <v>84</v>
      </c>
      <c r="H581" s="9" t="s">
        <v>798</v>
      </c>
      <c r="I581" s="2">
        <f>VLOOKUP(B581,'[1]FM MIX OSCAR'!$A:$I,8,0)</f>
        <v>470196.00000000012</v>
      </c>
      <c r="J581" s="2">
        <f>VLOOKUP(B581,'[1]FM MIX OSCAR'!$A:$I,9,0)</f>
        <v>10</v>
      </c>
    </row>
    <row r="582" spans="1:10" x14ac:dyDescent="0.3">
      <c r="A582" s="1">
        <v>581</v>
      </c>
      <c r="B582" s="7">
        <v>60352127</v>
      </c>
      <c r="C582" s="9" t="s">
        <v>1313</v>
      </c>
      <c r="D582" s="2"/>
      <c r="E582" s="9" t="s">
        <v>785</v>
      </c>
      <c r="F582" s="2">
        <v>6</v>
      </c>
      <c r="G582" s="9" t="s">
        <v>84</v>
      </c>
      <c r="H582" s="9" t="s">
        <v>786</v>
      </c>
      <c r="I582" s="2">
        <f>VLOOKUP(B582,'[1]FM MIX OSCAR'!$A:$I,8,0)</f>
        <v>34632</v>
      </c>
      <c r="J582" s="2">
        <f>VLOOKUP(B582,'[1]FM MIX OSCAR'!$A:$I,9,0)</f>
        <v>41</v>
      </c>
    </row>
    <row r="583" spans="1:10" x14ac:dyDescent="0.3">
      <c r="A583" s="1">
        <v>582</v>
      </c>
      <c r="B583" s="7">
        <v>60352137</v>
      </c>
      <c r="C583" s="9" t="s">
        <v>1313</v>
      </c>
      <c r="D583" s="2"/>
      <c r="E583" s="9" t="s">
        <v>748</v>
      </c>
      <c r="F583" s="2">
        <v>6</v>
      </c>
      <c r="G583" s="9" t="s">
        <v>84</v>
      </c>
      <c r="H583" s="9" t="s">
        <v>749</v>
      </c>
      <c r="I583" s="2">
        <f>VLOOKUP(B583,'[1]FM MIX OSCAR'!$A:$I,8,0)</f>
        <v>62604.000000000007</v>
      </c>
      <c r="J583" s="2">
        <f>VLOOKUP(B583,'[1]FM MIX OSCAR'!$A:$I,9,0)</f>
        <v>2</v>
      </c>
    </row>
    <row r="584" spans="1:10" x14ac:dyDescent="0.3">
      <c r="A584" s="1">
        <v>583</v>
      </c>
      <c r="B584" s="7">
        <v>60352144</v>
      </c>
      <c r="C584" s="9" t="s">
        <v>1313</v>
      </c>
      <c r="D584" s="2"/>
      <c r="E584" s="9" t="s">
        <v>756</v>
      </c>
      <c r="F584" s="2">
        <v>24</v>
      </c>
      <c r="G584" s="9" t="s">
        <v>151</v>
      </c>
      <c r="H584" s="9" t="s">
        <v>757</v>
      </c>
      <c r="I584" s="2">
        <f>VLOOKUP(B584,'[1]FM MIX OSCAR'!$A:$I,8,0)</f>
        <v>30636</v>
      </c>
      <c r="J584" s="2">
        <f>VLOOKUP(B584,'[1]FM MIX OSCAR'!$A:$I,9,0)</f>
        <v>9</v>
      </c>
    </row>
    <row r="585" spans="1:10" x14ac:dyDescent="0.3">
      <c r="A585" s="1">
        <v>584</v>
      </c>
      <c r="B585" s="7">
        <v>61000087</v>
      </c>
      <c r="C585" s="9" t="s">
        <v>1313</v>
      </c>
      <c r="D585" s="2"/>
      <c r="E585" s="9" t="s">
        <v>253</v>
      </c>
      <c r="F585" s="2">
        <v>2</v>
      </c>
      <c r="G585" s="9" t="s">
        <v>84</v>
      </c>
      <c r="H585" s="9" t="s">
        <v>253</v>
      </c>
      <c r="I585" s="2">
        <f>VLOOKUP(B585,'[1]FM MIX OSCAR'!$A:$I,8,0)</f>
        <v>26640</v>
      </c>
      <c r="J585" s="2">
        <f>VLOOKUP(B585,'[1]FM MIX OSCAR'!$A:$I,9,0)</f>
        <v>2</v>
      </c>
    </row>
    <row r="586" spans="1:10" x14ac:dyDescent="0.3">
      <c r="A586" s="1">
        <v>585</v>
      </c>
      <c r="B586" s="7">
        <v>61000099</v>
      </c>
      <c r="C586" s="9" t="s">
        <v>1313</v>
      </c>
      <c r="D586" s="2"/>
      <c r="E586" s="9" t="s">
        <v>336</v>
      </c>
      <c r="F586" s="2">
        <v>1</v>
      </c>
      <c r="G586" s="9" t="s">
        <v>90</v>
      </c>
      <c r="H586" s="9" t="s">
        <v>337</v>
      </c>
      <c r="I586" s="2">
        <f>VLOOKUP(B586,'[1]FM MIX OSCAR'!$A:$I,8,0)</f>
        <v>10063260</v>
      </c>
      <c r="J586" s="2">
        <f>VLOOKUP(B586,'[1]FM MIX OSCAR'!$A:$I,9,0)</f>
        <v>80</v>
      </c>
    </row>
    <row r="587" spans="1:10" x14ac:dyDescent="0.3">
      <c r="A587" s="1">
        <v>586</v>
      </c>
      <c r="B587" s="7">
        <v>61000119</v>
      </c>
      <c r="C587" s="9" t="s">
        <v>1313</v>
      </c>
      <c r="D587" s="2"/>
      <c r="E587" s="9" t="s">
        <v>413</v>
      </c>
      <c r="F587" s="2">
        <v>1</v>
      </c>
      <c r="G587" s="9" t="s">
        <v>63</v>
      </c>
      <c r="H587" s="9" t="s">
        <v>298</v>
      </c>
      <c r="I587" s="2">
        <f>VLOOKUP(B587,'[1]FM MIX OSCAR'!$A:$I,8,0)</f>
        <v>1249416</v>
      </c>
      <c r="J587" s="2"/>
    </row>
    <row r="588" spans="1:10" x14ac:dyDescent="0.3">
      <c r="A588" s="1">
        <v>587</v>
      </c>
      <c r="B588" s="7">
        <v>61005464</v>
      </c>
      <c r="C588" s="9" t="s">
        <v>1313</v>
      </c>
      <c r="D588" s="2"/>
      <c r="E588" s="9" t="s">
        <v>760</v>
      </c>
      <c r="F588" s="2">
        <v>1</v>
      </c>
      <c r="G588" s="9" t="s">
        <v>90</v>
      </c>
      <c r="H588" s="9" t="s">
        <v>761</v>
      </c>
      <c r="I588" s="2">
        <f>VLOOKUP(B588,'[1]FM MIX OSCAR'!$A:$I,8,0)</f>
        <v>4213116</v>
      </c>
      <c r="J588" s="2">
        <f>VLOOKUP(B588,'[1]FM MIX OSCAR'!$A:$I,9,0)</f>
        <v>9</v>
      </c>
    </row>
    <row r="589" spans="1:10" x14ac:dyDescent="0.3">
      <c r="A589" s="1">
        <v>588</v>
      </c>
      <c r="B589" s="7">
        <v>61005716</v>
      </c>
      <c r="C589" s="9" t="s">
        <v>1313</v>
      </c>
      <c r="D589" s="2"/>
      <c r="E589" s="9" t="s">
        <v>576</v>
      </c>
      <c r="F589" s="2">
        <v>1</v>
      </c>
      <c r="G589" s="9" t="s">
        <v>69</v>
      </c>
      <c r="H589" s="9" t="s">
        <v>109</v>
      </c>
      <c r="I589" s="2">
        <f>VLOOKUP(B589,'[1]FM MIX OSCAR'!$A:$I,8,0)</f>
        <v>1126872</v>
      </c>
      <c r="J589" s="2"/>
    </row>
    <row r="590" spans="1:10" x14ac:dyDescent="0.3">
      <c r="A590" s="1">
        <v>589</v>
      </c>
      <c r="B590" s="7">
        <v>61006543</v>
      </c>
      <c r="C590" s="9" t="s">
        <v>1313</v>
      </c>
      <c r="D590" s="2"/>
      <c r="E590" s="9" t="s">
        <v>674</v>
      </c>
      <c r="F590" s="2">
        <v>1</v>
      </c>
      <c r="G590" s="9" t="s">
        <v>90</v>
      </c>
      <c r="H590" s="9" t="s">
        <v>675</v>
      </c>
      <c r="I590" s="2">
        <f>VLOOKUP(B590,'[1]FM MIX OSCAR'!$A:$I,8,0)</f>
        <v>2085912</v>
      </c>
      <c r="J590" s="2">
        <f>VLOOKUP(B590,'[1]FM MIX OSCAR'!$A:$I,9,0)</f>
        <v>7</v>
      </c>
    </row>
    <row r="591" spans="1:10" x14ac:dyDescent="0.3">
      <c r="A591" s="1">
        <v>590</v>
      </c>
      <c r="B591" s="7">
        <v>61009978</v>
      </c>
      <c r="C591" s="9" t="s">
        <v>1313</v>
      </c>
      <c r="D591" s="2"/>
      <c r="E591" s="9" t="s">
        <v>578</v>
      </c>
      <c r="F591" s="2">
        <v>1</v>
      </c>
      <c r="G591" s="9" t="s">
        <v>84</v>
      </c>
      <c r="H591" s="9" t="s">
        <v>105</v>
      </c>
      <c r="I591" s="2">
        <f>VLOOKUP(B591,'[1]FM MIX OSCAR'!$A:$I,8,0)</f>
        <v>5074920</v>
      </c>
      <c r="J591" s="2">
        <f>VLOOKUP(B591,'[1]FM MIX OSCAR'!$A:$I,9,0)</f>
        <v>26</v>
      </c>
    </row>
    <row r="592" spans="1:10" x14ac:dyDescent="0.3">
      <c r="A592" s="1">
        <v>591</v>
      </c>
      <c r="B592" s="7">
        <v>61009979</v>
      </c>
      <c r="C592" s="9" t="s">
        <v>1313</v>
      </c>
      <c r="D592" s="2"/>
      <c r="E592" s="9" t="s">
        <v>577</v>
      </c>
      <c r="F592" s="2">
        <v>1</v>
      </c>
      <c r="G592" s="9" t="s">
        <v>84</v>
      </c>
      <c r="H592" s="9" t="s">
        <v>107</v>
      </c>
      <c r="I592" s="2">
        <f>VLOOKUP(B592,'[1]FM MIX OSCAR'!$A:$I,8,0)</f>
        <v>3375288</v>
      </c>
      <c r="J592" s="2">
        <f>VLOOKUP(B592,'[1]FM MIX OSCAR'!$A:$I,9,0)</f>
        <v>37</v>
      </c>
    </row>
    <row r="593" spans="1:10" x14ac:dyDescent="0.3">
      <c r="A593" s="1">
        <v>592</v>
      </c>
      <c r="B593" s="7">
        <v>61013913</v>
      </c>
      <c r="C593" s="9" t="s">
        <v>1313</v>
      </c>
      <c r="D593" s="2"/>
      <c r="E593" s="9" t="s">
        <v>937</v>
      </c>
      <c r="F593" s="2">
        <v>1</v>
      </c>
      <c r="G593" s="9" t="s">
        <v>167</v>
      </c>
      <c r="H593" s="9" t="s">
        <v>938</v>
      </c>
      <c r="I593" s="2">
        <f>VLOOKUP(B593,'[1]FM MIX OSCAR'!$A:$I,8,0)</f>
        <v>117216</v>
      </c>
      <c r="J593" s="2">
        <f>VLOOKUP(B593,'[1]FM MIX OSCAR'!$A:$I,9,0)</f>
        <v>1</v>
      </c>
    </row>
    <row r="594" spans="1:10" x14ac:dyDescent="0.3">
      <c r="A594" s="1">
        <v>593</v>
      </c>
      <c r="B594" s="7">
        <v>61013923</v>
      </c>
      <c r="C594" s="9" t="s">
        <v>1313</v>
      </c>
      <c r="D594" s="2"/>
      <c r="E594" s="9" t="s">
        <v>939</v>
      </c>
      <c r="F594" s="2">
        <v>2</v>
      </c>
      <c r="G594" s="9" t="s">
        <v>90</v>
      </c>
      <c r="H594" s="9" t="s">
        <v>940</v>
      </c>
      <c r="I594" s="2">
        <f>VLOOKUP(B594,'[1]FM MIX OSCAR'!$A:$I,8,0)</f>
        <v>282384</v>
      </c>
      <c r="J594" s="2">
        <f>VLOOKUP(B594,'[1]FM MIX OSCAR'!$A:$I,9,0)</f>
        <v>2</v>
      </c>
    </row>
    <row r="595" spans="1:10" x14ac:dyDescent="0.3">
      <c r="A595" s="1">
        <v>594</v>
      </c>
      <c r="B595" s="7">
        <v>61016718</v>
      </c>
      <c r="C595" s="9" t="s">
        <v>1313</v>
      </c>
      <c r="D595" s="2"/>
      <c r="E595" s="9" t="s">
        <v>666</v>
      </c>
      <c r="F595" s="2">
        <v>1</v>
      </c>
      <c r="G595" s="9" t="s">
        <v>90</v>
      </c>
      <c r="H595" s="9" t="s">
        <v>667</v>
      </c>
      <c r="I595" s="2">
        <f>VLOOKUP(B595,'[1]FM MIX OSCAR'!$A:$I,8,0)</f>
        <v>213120</v>
      </c>
      <c r="J595" s="2">
        <f>VLOOKUP(B595,'[1]FM MIX OSCAR'!$A:$I,9,0)</f>
        <v>2</v>
      </c>
    </row>
    <row r="596" spans="1:10" x14ac:dyDescent="0.3">
      <c r="A596" s="1">
        <v>595</v>
      </c>
      <c r="B596" s="7">
        <v>61018543</v>
      </c>
      <c r="C596" s="9" t="s">
        <v>1313</v>
      </c>
      <c r="D596" s="2"/>
      <c r="E596" s="9" t="s">
        <v>654</v>
      </c>
      <c r="F596" s="2">
        <v>1</v>
      </c>
      <c r="G596" s="9" t="s">
        <v>90</v>
      </c>
      <c r="H596" s="9" t="s">
        <v>655</v>
      </c>
      <c r="I596" s="2">
        <f>VLOOKUP(B596,'[1]FM MIX OSCAR'!$A:$I,8,0)</f>
        <v>9699624</v>
      </c>
      <c r="J596" s="2">
        <f>VLOOKUP(B596,'[1]FM MIX OSCAR'!$A:$I,9,0)</f>
        <v>4</v>
      </c>
    </row>
    <row r="597" spans="1:10" x14ac:dyDescent="0.3">
      <c r="A597" s="1">
        <v>596</v>
      </c>
      <c r="B597" s="7">
        <v>61019283</v>
      </c>
      <c r="C597" s="9" t="s">
        <v>1313</v>
      </c>
      <c r="D597" s="2"/>
      <c r="E597" s="9" t="s">
        <v>574</v>
      </c>
      <c r="F597" s="2">
        <v>1</v>
      </c>
      <c r="G597" s="9" t="s">
        <v>90</v>
      </c>
      <c r="H597" s="9" t="s">
        <v>575</v>
      </c>
      <c r="I597" s="2">
        <f>VLOOKUP(B597,'[1]FM MIX OSCAR'!$A:$I,8,0)</f>
        <v>1507824</v>
      </c>
      <c r="J597" s="2">
        <f>VLOOKUP(B597,'[1]FM MIX OSCAR'!$A:$I,9,0)</f>
        <v>77</v>
      </c>
    </row>
    <row r="598" spans="1:10" x14ac:dyDescent="0.3">
      <c r="A598" s="1">
        <v>597</v>
      </c>
      <c r="B598" s="7">
        <v>61019553</v>
      </c>
      <c r="C598" s="9" t="s">
        <v>1313</v>
      </c>
      <c r="D598" s="2"/>
      <c r="E598" s="9" t="s">
        <v>304</v>
      </c>
      <c r="F598" s="2">
        <v>1</v>
      </c>
      <c r="G598" s="9" t="s">
        <v>69</v>
      </c>
      <c r="H598" s="9" t="s">
        <v>177</v>
      </c>
      <c r="I598" s="2">
        <f>VLOOKUP(B598,'[1]FM MIX OSCAR'!$A:$I,8,0)</f>
        <v>3102228</v>
      </c>
      <c r="J598" s="2">
        <f>VLOOKUP(B598,'[1]FM MIX OSCAR'!$A:$I,9,0)</f>
        <v>82</v>
      </c>
    </row>
    <row r="599" spans="1:10" x14ac:dyDescent="0.3">
      <c r="A599" s="1">
        <v>598</v>
      </c>
      <c r="B599" s="7">
        <v>61019554</v>
      </c>
      <c r="C599" s="9" t="s">
        <v>1313</v>
      </c>
      <c r="D599" s="2"/>
      <c r="E599" s="9" t="s">
        <v>299</v>
      </c>
      <c r="F599" s="2">
        <v>1</v>
      </c>
      <c r="G599" s="9" t="s">
        <v>69</v>
      </c>
      <c r="H599" s="9" t="s">
        <v>300</v>
      </c>
      <c r="I599" s="2">
        <f>VLOOKUP(B599,'[1]FM MIX OSCAR'!$A:$I,8,0)</f>
        <v>1931400</v>
      </c>
      <c r="J599" s="2">
        <f>VLOOKUP(B599,'[1]FM MIX OSCAR'!$A:$I,9,0)</f>
        <v>1</v>
      </c>
    </row>
    <row r="600" spans="1:10" x14ac:dyDescent="0.3">
      <c r="A600" s="1">
        <v>599</v>
      </c>
      <c r="B600" s="7">
        <v>61020011</v>
      </c>
      <c r="C600" s="9" t="s">
        <v>1313</v>
      </c>
      <c r="D600" s="2"/>
      <c r="E600" s="9" t="s">
        <v>913</v>
      </c>
      <c r="F600" s="2">
        <v>3</v>
      </c>
      <c r="G600" s="9" t="s">
        <v>90</v>
      </c>
      <c r="H600" s="9" t="s">
        <v>914</v>
      </c>
      <c r="I600" s="2">
        <f>VLOOKUP(B600,'[1]FM MIX OSCAR'!$A:$I,8,0)</f>
        <v>214452</v>
      </c>
      <c r="J600" s="2">
        <f>VLOOKUP(B600,'[1]FM MIX OSCAR'!$A:$I,9,0)</f>
        <v>4</v>
      </c>
    </row>
    <row r="601" spans="1:10" x14ac:dyDescent="0.3">
      <c r="A601" s="1">
        <v>600</v>
      </c>
      <c r="B601" s="7">
        <v>61023513</v>
      </c>
      <c r="C601" s="9" t="s">
        <v>1313</v>
      </c>
      <c r="D601" s="2"/>
      <c r="E601" s="9" t="s">
        <v>630</v>
      </c>
      <c r="F601" s="2">
        <v>2</v>
      </c>
      <c r="G601" s="9" t="s">
        <v>90</v>
      </c>
      <c r="H601" s="9" t="s">
        <v>631</v>
      </c>
      <c r="I601" s="2">
        <f>VLOOKUP(B601,'[1]FM MIX OSCAR'!$A:$I,8,0)</f>
        <v>75924</v>
      </c>
      <c r="J601" s="2">
        <f>VLOOKUP(B601,'[1]FM MIX OSCAR'!$A:$I,9,0)</f>
        <v>6</v>
      </c>
    </row>
    <row r="602" spans="1:10" x14ac:dyDescent="0.3">
      <c r="A602" s="1">
        <v>601</v>
      </c>
      <c r="B602" s="7">
        <v>61023944</v>
      </c>
      <c r="C602" s="9" t="s">
        <v>1313</v>
      </c>
      <c r="D602" s="2"/>
      <c r="E602" s="9" t="s">
        <v>504</v>
      </c>
      <c r="F602" s="2">
        <v>2</v>
      </c>
      <c r="G602" s="9" t="s">
        <v>90</v>
      </c>
      <c r="H602" s="9" t="s">
        <v>505</v>
      </c>
      <c r="I602" s="2">
        <f>VLOOKUP(B602,'[1]FM MIX OSCAR'!$A:$I,8,0)</f>
        <v>38806488</v>
      </c>
      <c r="J602" s="2"/>
    </row>
    <row r="603" spans="1:10" x14ac:dyDescent="0.3">
      <c r="A603" s="1">
        <v>602</v>
      </c>
      <c r="B603" s="7">
        <v>61023945</v>
      </c>
      <c r="C603" s="9" t="s">
        <v>1313</v>
      </c>
      <c r="D603" s="2"/>
      <c r="E603" s="9" t="s">
        <v>504</v>
      </c>
      <c r="F603" s="2">
        <v>1</v>
      </c>
      <c r="G603" s="9" t="s">
        <v>90</v>
      </c>
      <c r="H603" s="9" t="s">
        <v>505</v>
      </c>
      <c r="I603" s="2">
        <f>VLOOKUP(B603,'[1]FM MIX OSCAR'!$A:$I,8,0)</f>
        <v>64924344.000000007</v>
      </c>
      <c r="J603" s="2">
        <f>VLOOKUP(B603,'[1]FM MIX OSCAR'!$A:$I,9,0)</f>
        <v>1</v>
      </c>
    </row>
    <row r="604" spans="1:10" x14ac:dyDescent="0.3">
      <c r="A604" s="1">
        <v>603</v>
      </c>
      <c r="B604" s="7">
        <v>61025757</v>
      </c>
      <c r="C604" s="9" t="s">
        <v>1313</v>
      </c>
      <c r="D604" s="2"/>
      <c r="E604" s="9" t="s">
        <v>895</v>
      </c>
      <c r="F604" s="2">
        <v>2</v>
      </c>
      <c r="G604" s="9" t="s">
        <v>151</v>
      </c>
      <c r="H604" s="9" t="s">
        <v>896</v>
      </c>
      <c r="I604" s="2">
        <f>VLOOKUP(B604,'[1]FM MIX OSCAR'!$A:$I,8,0)</f>
        <v>1417248</v>
      </c>
      <c r="J604" s="2">
        <f>VLOOKUP(B604,'[1]FM MIX OSCAR'!$A:$I,9,0)</f>
        <v>3</v>
      </c>
    </row>
    <row r="605" spans="1:10" x14ac:dyDescent="0.3">
      <c r="A605" s="1">
        <v>604</v>
      </c>
      <c r="B605" s="7">
        <v>61025791</v>
      </c>
      <c r="C605" s="9" t="s">
        <v>1313</v>
      </c>
      <c r="D605" s="2"/>
      <c r="E605" s="9" t="s">
        <v>897</v>
      </c>
      <c r="F605" s="2">
        <v>2</v>
      </c>
      <c r="G605" s="9" t="s">
        <v>151</v>
      </c>
      <c r="H605" s="9" t="s">
        <v>898</v>
      </c>
      <c r="I605" s="2">
        <f>VLOOKUP(B605,'[1]FM MIX OSCAR'!$A:$I,8,0)</f>
        <v>329004</v>
      </c>
      <c r="J605" s="2"/>
    </row>
    <row r="606" spans="1:10" x14ac:dyDescent="0.3">
      <c r="A606" s="1">
        <v>605</v>
      </c>
      <c r="B606" s="7">
        <v>61025846</v>
      </c>
      <c r="C606" s="9" t="s">
        <v>1313</v>
      </c>
      <c r="D606" s="2"/>
      <c r="E606" s="9" t="s">
        <v>403</v>
      </c>
      <c r="F606" s="2">
        <v>1</v>
      </c>
      <c r="G606" s="9" t="s">
        <v>90</v>
      </c>
      <c r="H606" s="9" t="s">
        <v>404</v>
      </c>
      <c r="I606" s="2">
        <f>VLOOKUP(B606,'[1]FM MIX OSCAR'!$A:$I,8,0)</f>
        <v>2109888</v>
      </c>
      <c r="J606" s="2">
        <f>VLOOKUP(B606,'[1]FM MIX OSCAR'!$A:$I,9,0)</f>
        <v>3</v>
      </c>
    </row>
    <row r="607" spans="1:10" x14ac:dyDescent="0.3">
      <c r="A607" s="1">
        <v>606</v>
      </c>
      <c r="B607" s="7">
        <v>61026495</v>
      </c>
      <c r="C607" s="9" t="s">
        <v>1313</v>
      </c>
      <c r="D607" s="2"/>
      <c r="E607" s="9" t="s">
        <v>39</v>
      </c>
      <c r="F607" s="2">
        <v>1</v>
      </c>
      <c r="G607" s="9" t="s">
        <v>90</v>
      </c>
      <c r="H607" s="9" t="s">
        <v>799</v>
      </c>
      <c r="I607" s="2">
        <f>VLOOKUP(B607,'[1]FM MIX OSCAR'!$A:$I,8,0)</f>
        <v>11112876</v>
      </c>
      <c r="J607" s="2">
        <f>VLOOKUP(B607,'[1]FM MIX OSCAR'!$A:$I,9,0)</f>
        <v>4</v>
      </c>
    </row>
    <row r="608" spans="1:10" x14ac:dyDescent="0.3">
      <c r="A608" s="1">
        <v>607</v>
      </c>
      <c r="B608" s="7">
        <v>61026743</v>
      </c>
      <c r="C608" s="9" t="s">
        <v>1313</v>
      </c>
      <c r="D608" s="2"/>
      <c r="E608" s="9" t="s">
        <v>515</v>
      </c>
      <c r="F608" s="2">
        <v>1</v>
      </c>
      <c r="G608" s="9" t="s">
        <v>90</v>
      </c>
      <c r="H608" s="9" t="s">
        <v>516</v>
      </c>
      <c r="I608" s="2">
        <f>VLOOKUP(B608,'[1]FM MIX OSCAR'!$A:$I,8,0)</f>
        <v>3371292</v>
      </c>
      <c r="J608" s="2">
        <f>VLOOKUP(B608,'[1]FM MIX OSCAR'!$A:$I,9,0)</f>
        <v>37</v>
      </c>
    </row>
    <row r="609" spans="1:10" x14ac:dyDescent="0.3">
      <c r="A609" s="1">
        <v>608</v>
      </c>
      <c r="B609" s="7">
        <v>61027331</v>
      </c>
      <c r="C609" s="9" t="s">
        <v>1313</v>
      </c>
      <c r="D609" s="2"/>
      <c r="E609" s="9" t="s">
        <v>771</v>
      </c>
      <c r="F609" s="2">
        <v>2</v>
      </c>
      <c r="G609" s="9" t="s">
        <v>69</v>
      </c>
      <c r="H609" s="9" t="s">
        <v>772</v>
      </c>
      <c r="I609" s="2">
        <f>VLOOKUP(B609,'[1]FM MIX OSCAR'!$A:$I,8,0)</f>
        <v>115884</v>
      </c>
      <c r="J609" s="2">
        <f>VLOOKUP(B609,'[1]FM MIX OSCAR'!$A:$I,9,0)</f>
        <v>376</v>
      </c>
    </row>
    <row r="610" spans="1:10" x14ac:dyDescent="0.3">
      <c r="A610" s="1">
        <v>609</v>
      </c>
      <c r="B610" s="7">
        <v>141502000017</v>
      </c>
      <c r="C610" s="9" t="s">
        <v>1313</v>
      </c>
      <c r="D610" s="2"/>
      <c r="E610" s="9" t="s">
        <v>706</v>
      </c>
      <c r="F610" s="2">
        <v>1</v>
      </c>
      <c r="G610" s="9" t="s">
        <v>63</v>
      </c>
      <c r="H610" s="9" t="s">
        <v>707</v>
      </c>
      <c r="I610" s="2">
        <f>VLOOKUP(B610,'[1]FM MIX OSCAR'!$A:$I,8,0)</f>
        <v>195804</v>
      </c>
      <c r="J610" s="2">
        <f>VLOOKUP(B610,'[1]FM MIX OSCAR'!$A:$I,9,0)</f>
        <v>515</v>
      </c>
    </row>
    <row r="611" spans="1:10" x14ac:dyDescent="0.3">
      <c r="A611" s="1">
        <v>610</v>
      </c>
      <c r="B611" s="7">
        <v>141502000076</v>
      </c>
      <c r="C611" s="9" t="s">
        <v>1313</v>
      </c>
      <c r="D611" s="2"/>
      <c r="E611" s="9" t="s">
        <v>710</v>
      </c>
      <c r="F611" s="2">
        <v>1</v>
      </c>
      <c r="G611" s="9" t="s">
        <v>69</v>
      </c>
      <c r="H611" s="9" t="s">
        <v>711</v>
      </c>
      <c r="I611" s="2">
        <f>VLOOKUP(B611,'[1]FM MIX OSCAR'!$A:$I,8,0)</f>
        <v>142524</v>
      </c>
      <c r="J611" s="2">
        <f>VLOOKUP(B611,'[1]FM MIX OSCAR'!$A:$I,9,0)</f>
        <v>11</v>
      </c>
    </row>
    <row r="612" spans="1:10" x14ac:dyDescent="0.3">
      <c r="A612" s="1">
        <v>611</v>
      </c>
      <c r="B612" s="7">
        <v>141502000077</v>
      </c>
      <c r="C612" s="9" t="s">
        <v>1313</v>
      </c>
      <c r="D612" s="2"/>
      <c r="E612" s="9" t="s">
        <v>708</v>
      </c>
      <c r="F612" s="2">
        <v>1</v>
      </c>
      <c r="G612" s="9" t="s">
        <v>63</v>
      </c>
      <c r="H612" s="9" t="s">
        <v>709</v>
      </c>
      <c r="I612" s="2">
        <f>VLOOKUP(B612,'[1]FM MIX OSCAR'!$A:$I,8,0)</f>
        <v>125208</v>
      </c>
      <c r="J612" s="2">
        <f>VLOOKUP(B612,'[1]FM MIX OSCAR'!$A:$I,9,0)</f>
        <v>152</v>
      </c>
    </row>
    <row r="613" spans="1:10" x14ac:dyDescent="0.3">
      <c r="A613" s="1">
        <v>612</v>
      </c>
      <c r="B613" s="7">
        <v>160603020013</v>
      </c>
      <c r="C613" s="9" t="s">
        <v>1313</v>
      </c>
      <c r="D613" s="2"/>
      <c r="E613" s="9" t="s">
        <v>74</v>
      </c>
      <c r="F613" s="2">
        <v>1</v>
      </c>
      <c r="G613" s="9" t="s">
        <v>69</v>
      </c>
      <c r="H613" s="9" t="s">
        <v>75</v>
      </c>
      <c r="I613" s="2">
        <f>VLOOKUP(B613,'[1]FM MIX OSCAR'!$A:$I,8,0)</f>
        <v>267732</v>
      </c>
      <c r="J613" s="2">
        <f>VLOOKUP(B613,'[1]FM MIX OSCAR'!$A:$I,9,0)</f>
        <v>2129</v>
      </c>
    </row>
    <row r="614" spans="1:10" x14ac:dyDescent="0.3">
      <c r="A614" s="1">
        <v>613</v>
      </c>
      <c r="B614" s="7">
        <v>160604020017</v>
      </c>
      <c r="C614" s="9" t="s">
        <v>1313</v>
      </c>
      <c r="D614" s="2"/>
      <c r="E614" s="9" t="s">
        <v>305</v>
      </c>
      <c r="F614" s="2">
        <v>1</v>
      </c>
      <c r="G614" s="9" t="s">
        <v>69</v>
      </c>
      <c r="H614" s="9" t="s">
        <v>306</v>
      </c>
      <c r="I614" s="2">
        <f>VLOOKUP(B614,'[1]FM MIX OSCAR'!$A:$I,8,0)</f>
        <v>499500.00000000012</v>
      </c>
      <c r="J614" s="2">
        <f>VLOOKUP(B614,'[1]FM MIX OSCAR'!$A:$I,9,0)</f>
        <v>1105</v>
      </c>
    </row>
    <row r="615" spans="1:10" x14ac:dyDescent="0.3">
      <c r="A615" s="1">
        <v>614</v>
      </c>
      <c r="B615" s="7">
        <v>160604020018</v>
      </c>
      <c r="C615" s="9" t="s">
        <v>1313</v>
      </c>
      <c r="D615" s="2"/>
      <c r="E615" s="9" t="s">
        <v>301</v>
      </c>
      <c r="F615" s="2">
        <v>1</v>
      </c>
      <c r="G615" s="9" t="s">
        <v>69</v>
      </c>
      <c r="H615" s="9" t="s">
        <v>302</v>
      </c>
      <c r="I615" s="2">
        <f>VLOOKUP(B615,'[1]FM MIX OSCAR'!$A:$I,8,0)</f>
        <v>888444.00000000012</v>
      </c>
      <c r="J615" s="2"/>
    </row>
    <row r="616" spans="1:10" x14ac:dyDescent="0.3">
      <c r="A616" s="1">
        <v>615</v>
      </c>
      <c r="B616" s="7">
        <v>168899000003</v>
      </c>
      <c r="C616" s="9" t="s">
        <v>1313</v>
      </c>
      <c r="D616" s="2"/>
      <c r="E616" s="9" t="s">
        <v>758</v>
      </c>
      <c r="F616" s="2">
        <v>12</v>
      </c>
      <c r="G616" s="9" t="s">
        <v>90</v>
      </c>
      <c r="H616" s="9" t="s">
        <v>759</v>
      </c>
      <c r="I616" s="2">
        <f>VLOOKUP(B616,'[1]FM MIX OSCAR'!$A:$I,8,0)</f>
        <v>170496</v>
      </c>
      <c r="J616" s="2">
        <f>VLOOKUP(B616,'[1]FM MIX OSCAR'!$A:$I,9,0)</f>
        <v>275</v>
      </c>
    </row>
    <row r="617" spans="1:10" x14ac:dyDescent="0.3">
      <c r="A617" s="1">
        <v>616</v>
      </c>
      <c r="B617" s="7">
        <v>168899000426</v>
      </c>
      <c r="C617" s="9" t="s">
        <v>1313</v>
      </c>
      <c r="D617" s="2"/>
      <c r="E617" s="9" t="s">
        <v>754</v>
      </c>
      <c r="F617" s="2">
        <v>12</v>
      </c>
      <c r="G617" s="9" t="s">
        <v>90</v>
      </c>
      <c r="H617" s="9" t="s">
        <v>755</v>
      </c>
      <c r="I617" s="2">
        <f>VLOOKUP(B617,'[1]FM MIX OSCAR'!$A:$I,8,0)</f>
        <v>170496</v>
      </c>
      <c r="J617" s="2">
        <f>VLOOKUP(B617,'[1]FM MIX OSCAR'!$A:$I,9,0)</f>
        <v>32</v>
      </c>
    </row>
    <row r="618" spans="1:10" x14ac:dyDescent="0.3">
      <c r="A618" s="1">
        <v>617</v>
      </c>
      <c r="B618" s="7">
        <v>168899000427</v>
      </c>
      <c r="C618" s="9" t="s">
        <v>1313</v>
      </c>
      <c r="D618" s="2"/>
      <c r="E618" s="9" t="s">
        <v>769</v>
      </c>
      <c r="F618" s="2">
        <v>1</v>
      </c>
      <c r="G618" s="9" t="s">
        <v>84</v>
      </c>
      <c r="H618" s="9" t="s">
        <v>770</v>
      </c>
      <c r="I618" s="2">
        <f>VLOOKUP(B618,'[1]FM MIX OSCAR'!$A:$I,8,0)</f>
        <v>351648</v>
      </c>
      <c r="J618" s="2">
        <f>VLOOKUP(B618,'[1]FM MIX OSCAR'!$A:$I,9,0)</f>
        <v>11</v>
      </c>
    </row>
    <row r="619" spans="1:10" x14ac:dyDescent="0.3">
      <c r="A619" s="1">
        <v>618</v>
      </c>
      <c r="B619" s="7">
        <v>168899000430</v>
      </c>
      <c r="C619" s="9" t="s">
        <v>1313</v>
      </c>
      <c r="D619" s="2"/>
      <c r="E619" s="9" t="s">
        <v>794</v>
      </c>
      <c r="F619" s="2">
        <v>1</v>
      </c>
      <c r="G619" s="9" t="s">
        <v>90</v>
      </c>
      <c r="H619" s="9" t="s">
        <v>99</v>
      </c>
      <c r="I619" s="2">
        <f>VLOOKUP(B619,'[1]FM MIX OSCAR'!$A:$I,8,0)</f>
        <v>5124204</v>
      </c>
      <c r="J619" s="2">
        <f>VLOOKUP(B619,'[1]FM MIX OSCAR'!$A:$I,9,0)</f>
        <v>88</v>
      </c>
    </row>
    <row r="620" spans="1:10" x14ac:dyDescent="0.3">
      <c r="A620" s="1">
        <v>619</v>
      </c>
      <c r="B620" s="7" t="s">
        <v>609</v>
      </c>
      <c r="C620" s="9" t="s">
        <v>1313</v>
      </c>
      <c r="D620" s="2"/>
      <c r="E620" s="9" t="s">
        <v>571</v>
      </c>
      <c r="F620" s="2">
        <v>1</v>
      </c>
      <c r="G620" s="9" t="s">
        <v>90</v>
      </c>
      <c r="H620" s="9" t="s">
        <v>610</v>
      </c>
      <c r="I620" s="2">
        <f>VLOOKUP(B620,'[1]FM MIX OSCAR'!$A:$I,8,0)</f>
        <v>122738472</v>
      </c>
      <c r="J620" s="2"/>
    </row>
    <row r="621" spans="1:10" x14ac:dyDescent="0.3">
      <c r="A621" s="1">
        <v>620</v>
      </c>
      <c r="B621" s="7" t="s">
        <v>814</v>
      </c>
      <c r="C621" s="9" t="s">
        <v>1313</v>
      </c>
      <c r="D621" s="2"/>
      <c r="E621" s="9" t="s">
        <v>815</v>
      </c>
      <c r="F621" s="2">
        <v>1</v>
      </c>
      <c r="G621" s="9" t="s">
        <v>90</v>
      </c>
      <c r="H621" s="9" t="s">
        <v>610</v>
      </c>
      <c r="I621" s="2">
        <f>VLOOKUP(B621,'[1]FM MIX OSCAR'!$A:$I,8,0)</f>
        <v>120339540</v>
      </c>
      <c r="J621" s="2"/>
    </row>
    <row r="622" spans="1:10" x14ac:dyDescent="0.3">
      <c r="A622" s="1">
        <v>621</v>
      </c>
      <c r="B622" s="7" t="s">
        <v>357</v>
      </c>
      <c r="C622" s="9" t="s">
        <v>1313</v>
      </c>
      <c r="D622" s="2"/>
      <c r="E622" s="9" t="s">
        <v>358</v>
      </c>
      <c r="F622" s="2">
        <v>1</v>
      </c>
      <c r="G622" s="9" t="s">
        <v>69</v>
      </c>
      <c r="H622" s="9" t="s">
        <v>359</v>
      </c>
      <c r="I622" s="2">
        <f>VLOOKUP(B622,'[1]FM MIX OSCAR'!$A:$I,8,0)</f>
        <v>36486144</v>
      </c>
      <c r="J622" s="2"/>
    </row>
    <row r="623" spans="1:10" x14ac:dyDescent="0.3">
      <c r="A623" s="1">
        <v>622</v>
      </c>
      <c r="B623" s="7" t="s">
        <v>360</v>
      </c>
      <c r="C623" s="9" t="s">
        <v>1313</v>
      </c>
      <c r="D623" s="2"/>
      <c r="E623" s="9" t="s">
        <v>361</v>
      </c>
      <c r="F623" s="2">
        <v>1</v>
      </c>
      <c r="G623" s="9" t="s">
        <v>69</v>
      </c>
      <c r="H623" s="9" t="s">
        <v>359</v>
      </c>
      <c r="I623" s="2">
        <f>VLOOKUP(B623,'[1]FM MIX OSCAR'!$A:$I,8,0)</f>
        <v>30380256</v>
      </c>
      <c r="J623" s="2">
        <f>VLOOKUP(B623,'[1]FM MIX OSCAR'!$A:$I,9,0)</f>
        <v>1</v>
      </c>
    </row>
    <row r="624" spans="1:10" x14ac:dyDescent="0.3">
      <c r="A624" s="1">
        <v>623</v>
      </c>
      <c r="B624" s="7" t="s">
        <v>443</v>
      </c>
      <c r="C624" s="9" t="s">
        <v>1313</v>
      </c>
      <c r="D624" s="2"/>
      <c r="E624" s="9" t="s">
        <v>444</v>
      </c>
      <c r="F624" s="2">
        <v>1</v>
      </c>
      <c r="G624" s="9" t="s">
        <v>69</v>
      </c>
      <c r="H624" s="9" t="s">
        <v>445</v>
      </c>
      <c r="I624" s="2">
        <f>VLOOKUP(B624,'[1]FM MIX OSCAR'!$A:$I,8,0)</f>
        <v>6778548.0000000009</v>
      </c>
      <c r="J624" s="2"/>
    </row>
    <row r="625" spans="1:10" x14ac:dyDescent="0.3">
      <c r="A625" s="1">
        <v>624</v>
      </c>
      <c r="B625" s="7" t="s">
        <v>440</v>
      </c>
      <c r="C625" s="9" t="s">
        <v>1313</v>
      </c>
      <c r="D625" s="2"/>
      <c r="E625" s="9" t="s">
        <v>441</v>
      </c>
      <c r="F625" s="2">
        <v>1</v>
      </c>
      <c r="G625" s="9" t="s">
        <v>69</v>
      </c>
      <c r="H625" s="9" t="s">
        <v>442</v>
      </c>
      <c r="I625" s="2">
        <f>VLOOKUP(B625,'[1]FM MIX OSCAR'!$A:$I,8,0)</f>
        <v>3372624</v>
      </c>
      <c r="J625" s="2">
        <f>VLOOKUP(B625,'[1]FM MIX OSCAR'!$A:$I,9,0)</f>
        <v>197</v>
      </c>
    </row>
    <row r="626" spans="1:10" x14ac:dyDescent="0.3">
      <c r="A626" s="1">
        <v>625</v>
      </c>
      <c r="B626" s="7" t="s">
        <v>816</v>
      </c>
      <c r="C626" s="9" t="s">
        <v>1313</v>
      </c>
      <c r="D626" s="2"/>
      <c r="E626" s="9" t="s">
        <v>817</v>
      </c>
      <c r="F626" s="2">
        <v>1</v>
      </c>
      <c r="G626" s="9" t="s">
        <v>84</v>
      </c>
      <c r="H626" s="9" t="s">
        <v>107</v>
      </c>
      <c r="I626" s="2">
        <f>VLOOKUP(B626,'[1]FM MIX OSCAR'!$A:$I,8,0)</f>
        <v>4797864</v>
      </c>
      <c r="J626" s="2"/>
    </row>
    <row r="627" spans="1:10" x14ac:dyDescent="0.3">
      <c r="A627" s="1">
        <v>626</v>
      </c>
      <c r="B627" s="7" t="s">
        <v>818</v>
      </c>
      <c r="C627" s="9" t="s">
        <v>1313</v>
      </c>
      <c r="D627" s="2"/>
      <c r="E627" s="9" t="s">
        <v>819</v>
      </c>
      <c r="F627" s="2">
        <v>1</v>
      </c>
      <c r="G627" s="9" t="s">
        <v>84</v>
      </c>
      <c r="H627" s="9" t="s">
        <v>105</v>
      </c>
      <c r="I627" s="2">
        <f>VLOOKUP(B627,'[1]FM MIX OSCAR'!$A:$I,8,0)</f>
        <v>5130864</v>
      </c>
      <c r="J627" s="2">
        <f>VLOOKUP(B627,'[1]FM MIX OSCAR'!$A:$I,9,0)</f>
        <v>7</v>
      </c>
    </row>
    <row r="628" spans="1:10" x14ac:dyDescent="0.3">
      <c r="A628" s="1">
        <v>627</v>
      </c>
      <c r="B628" s="7" t="s">
        <v>905</v>
      </c>
      <c r="C628" s="9" t="s">
        <v>1313</v>
      </c>
      <c r="D628" s="2"/>
      <c r="E628" s="9" t="s">
        <v>654</v>
      </c>
      <c r="F628" s="2">
        <v>1</v>
      </c>
      <c r="G628" s="9" t="s">
        <v>90</v>
      </c>
      <c r="H628" s="9" t="s">
        <v>655</v>
      </c>
      <c r="I628" s="2">
        <f>VLOOKUP(B628,'[1]FM MIX OSCAR'!$A:$I,8,0)</f>
        <v>9719604</v>
      </c>
      <c r="J628" s="2"/>
    </row>
    <row r="629" spans="1:10" x14ac:dyDescent="0.3">
      <c r="A629" s="1">
        <v>628</v>
      </c>
      <c r="B629" s="7" t="s">
        <v>891</v>
      </c>
      <c r="C629" s="9" t="s">
        <v>1313</v>
      </c>
      <c r="D629" s="2"/>
      <c r="E629" s="9" t="s">
        <v>892</v>
      </c>
      <c r="F629" s="2">
        <v>1</v>
      </c>
      <c r="G629" s="9" t="s">
        <v>151</v>
      </c>
      <c r="H629" s="9" t="s">
        <v>530</v>
      </c>
      <c r="I629" s="2">
        <f>VLOOKUP(B629,'[1]FM MIX OSCAR'!$A:$I,8,0)</f>
        <v>1245420</v>
      </c>
      <c r="J629" s="2">
        <f>VLOOKUP(B629,'[1]FM MIX OSCAR'!$A:$I,9,0)</f>
        <v>160</v>
      </c>
    </row>
    <row r="630" spans="1:10" x14ac:dyDescent="0.3">
      <c r="A630" s="1">
        <v>629</v>
      </c>
      <c r="B630" s="7" t="s">
        <v>832</v>
      </c>
      <c r="C630" s="9" t="s">
        <v>1313</v>
      </c>
      <c r="D630" s="2"/>
      <c r="E630" s="9" t="s">
        <v>833</v>
      </c>
      <c r="F630" s="2">
        <v>8</v>
      </c>
      <c r="G630" s="9" t="s">
        <v>69</v>
      </c>
      <c r="H630" s="9" t="s">
        <v>218</v>
      </c>
      <c r="I630" s="2">
        <f>VLOOKUP(B630,'[1]FM MIX OSCAR'!$A:$I,8,0)</f>
        <v>209124</v>
      </c>
      <c r="J630" s="2">
        <f>VLOOKUP(B630,'[1]FM MIX OSCAR'!$A:$I,9,0)</f>
        <v>888</v>
      </c>
    </row>
    <row r="631" spans="1:10" x14ac:dyDescent="0.3">
      <c r="A631" s="1">
        <v>630</v>
      </c>
      <c r="B631" s="7" t="s">
        <v>899</v>
      </c>
      <c r="C631" s="9" t="s">
        <v>1313</v>
      </c>
      <c r="D631" s="2"/>
      <c r="E631" s="9" t="s">
        <v>900</v>
      </c>
      <c r="F631" s="2">
        <v>20</v>
      </c>
      <c r="G631" s="9" t="s">
        <v>167</v>
      </c>
      <c r="H631" s="9" t="s">
        <v>901</v>
      </c>
      <c r="I631" s="2">
        <f>VLOOKUP(B631,'[1]FM MIX OSCAR'!$A:$I,8,0)</f>
        <v>59940.000000000007</v>
      </c>
      <c r="J631" s="2">
        <f>VLOOKUP(B631,'[1]FM MIX OSCAR'!$A:$I,9,0)</f>
        <v>11</v>
      </c>
    </row>
    <row r="632" spans="1:10" x14ac:dyDescent="0.3">
      <c r="A632" s="1">
        <v>631</v>
      </c>
      <c r="B632" s="7" t="s">
        <v>881</v>
      </c>
      <c r="C632" s="9" t="s">
        <v>1313</v>
      </c>
      <c r="D632" s="2"/>
      <c r="E632" s="9" t="s">
        <v>882</v>
      </c>
      <c r="F632" s="2">
        <v>2</v>
      </c>
      <c r="G632" s="9" t="s">
        <v>151</v>
      </c>
      <c r="H632" s="9" t="s">
        <v>883</v>
      </c>
      <c r="I632" s="2">
        <f>VLOOKUP(B632,'[1]FM MIX OSCAR'!$A:$I,8,0)</f>
        <v>42624</v>
      </c>
      <c r="J632" s="2">
        <f>VLOOKUP(B632,'[1]FM MIX OSCAR'!$A:$I,9,0)</f>
        <v>6</v>
      </c>
    </row>
    <row r="633" spans="1:10" x14ac:dyDescent="0.3">
      <c r="A633" s="1">
        <v>632</v>
      </c>
      <c r="B633" s="7" t="s">
        <v>830</v>
      </c>
      <c r="C633" s="9" t="s">
        <v>1313</v>
      </c>
      <c r="D633" s="2"/>
      <c r="E633" s="9" t="s">
        <v>117</v>
      </c>
      <c r="F633" s="2">
        <v>4</v>
      </c>
      <c r="G633" s="9" t="s">
        <v>69</v>
      </c>
      <c r="H633" s="9" t="s">
        <v>831</v>
      </c>
      <c r="I633" s="2">
        <f>VLOOKUP(B633,'[1]FM MIX OSCAR'!$A:$I,8,0)</f>
        <v>2071260</v>
      </c>
      <c r="J633" s="2">
        <f>VLOOKUP(B633,'[1]FM MIX OSCAR'!$A:$I,9,0)</f>
        <v>16</v>
      </c>
    </row>
    <row r="634" spans="1:10" x14ac:dyDescent="0.3">
      <c r="A634" s="1">
        <v>633</v>
      </c>
      <c r="B634" s="7" t="s">
        <v>884</v>
      </c>
      <c r="C634" s="9" t="s">
        <v>1313</v>
      </c>
      <c r="D634" s="2"/>
      <c r="E634" s="9" t="s">
        <v>885</v>
      </c>
      <c r="F634" s="2">
        <v>2</v>
      </c>
      <c r="G634" s="9" t="s">
        <v>84</v>
      </c>
      <c r="H634" s="9" t="s">
        <v>886</v>
      </c>
      <c r="I634" s="2">
        <f>VLOOKUP(B634,'[1]FM MIX OSCAR'!$A:$I,8,0)</f>
        <v>18648</v>
      </c>
      <c r="J634" s="2"/>
    </row>
    <row r="635" spans="1:10" x14ac:dyDescent="0.3">
      <c r="A635" s="1">
        <v>634</v>
      </c>
      <c r="B635" s="7" t="s">
        <v>837</v>
      </c>
      <c r="C635" s="9" t="s">
        <v>1313</v>
      </c>
      <c r="D635" s="2"/>
      <c r="E635" s="9" t="s">
        <v>838</v>
      </c>
      <c r="F635" s="2">
        <v>1</v>
      </c>
      <c r="G635" s="9" t="s">
        <v>90</v>
      </c>
      <c r="H635" s="9" t="s">
        <v>839</v>
      </c>
      <c r="I635" s="2">
        <f>VLOOKUP(B635,'[1]FM MIX OSCAR'!$A:$I,8,0)</f>
        <v>618048</v>
      </c>
      <c r="J635" s="2"/>
    </row>
    <row r="636" spans="1:10" x14ac:dyDescent="0.3">
      <c r="A636" s="1">
        <v>635</v>
      </c>
      <c r="B636" s="7" t="s">
        <v>840</v>
      </c>
      <c r="C636" s="9" t="s">
        <v>1313</v>
      </c>
      <c r="D636" s="2"/>
      <c r="E636" s="9" t="s">
        <v>761</v>
      </c>
      <c r="F636" s="2">
        <v>1</v>
      </c>
      <c r="G636" s="9" t="s">
        <v>90</v>
      </c>
      <c r="H636" s="9" t="s">
        <v>841</v>
      </c>
      <c r="I636" s="2">
        <f>VLOOKUP(B636,'[1]FM MIX OSCAR'!$A:$I,8,0)</f>
        <v>1204128</v>
      </c>
      <c r="J636" s="2">
        <f>VLOOKUP(B636,'[1]FM MIX OSCAR'!$A:$I,9,0)</f>
        <v>17</v>
      </c>
    </row>
    <row r="637" spans="1:10" x14ac:dyDescent="0.3">
      <c r="A637" s="1">
        <v>636</v>
      </c>
      <c r="B637" s="7" t="s">
        <v>827</v>
      </c>
      <c r="C637" s="9" t="s">
        <v>1313</v>
      </c>
      <c r="D637" s="2"/>
      <c r="E637" s="9" t="s">
        <v>828</v>
      </c>
      <c r="F637" s="2">
        <v>2</v>
      </c>
      <c r="G637" s="9" t="s">
        <v>90</v>
      </c>
      <c r="H637" s="9" t="s">
        <v>829</v>
      </c>
      <c r="I637" s="2">
        <f>VLOOKUP(B637,'[1]FM MIX OSCAR'!$A:$I,8,0)</f>
        <v>4011984</v>
      </c>
      <c r="J637" s="2">
        <f>VLOOKUP(B637,'[1]FM MIX OSCAR'!$A:$I,9,0)</f>
        <v>2</v>
      </c>
    </row>
    <row r="638" spans="1:10" x14ac:dyDescent="0.3">
      <c r="A638" s="1">
        <v>637</v>
      </c>
      <c r="B638" s="7" t="s">
        <v>825</v>
      </c>
      <c r="C638" s="9" t="s">
        <v>1313</v>
      </c>
      <c r="D638" s="2"/>
      <c r="E638" s="9" t="s">
        <v>120</v>
      </c>
      <c r="F638" s="2">
        <v>2</v>
      </c>
      <c r="G638" s="9" t="s">
        <v>90</v>
      </c>
      <c r="H638" s="9" t="s">
        <v>826</v>
      </c>
      <c r="I638" s="2">
        <f>VLOOKUP(B638,'[1]FM MIX OSCAR'!$A:$I,8,0)</f>
        <v>4792536</v>
      </c>
      <c r="J638" s="2"/>
    </row>
    <row r="639" spans="1:10" x14ac:dyDescent="0.3">
      <c r="A639" s="1">
        <v>638</v>
      </c>
      <c r="B639" s="7" t="s">
        <v>875</v>
      </c>
      <c r="C639" s="9" t="s">
        <v>1313</v>
      </c>
      <c r="D639" s="2"/>
      <c r="E639" s="9" t="s">
        <v>876</v>
      </c>
      <c r="F639" s="2">
        <v>1</v>
      </c>
      <c r="G639" s="9" t="s">
        <v>90</v>
      </c>
      <c r="H639" s="9" t="s">
        <v>877</v>
      </c>
      <c r="I639" s="2">
        <f>VLOOKUP(B639,'[1]FM MIX OSCAR'!$A:$I,8,0)</f>
        <v>117130752</v>
      </c>
      <c r="J639" s="2">
        <f>VLOOKUP(B639,'[1]FM MIX OSCAR'!$A:$I,9,0)</f>
        <v>1</v>
      </c>
    </row>
    <row r="640" spans="1:10" x14ac:dyDescent="0.3">
      <c r="A640" s="1">
        <v>639</v>
      </c>
      <c r="B640" s="7" t="s">
        <v>878</v>
      </c>
      <c r="C640" s="9" t="s">
        <v>1313</v>
      </c>
      <c r="D640" s="2"/>
      <c r="E640" s="9" t="s">
        <v>879</v>
      </c>
      <c r="F640" s="2">
        <v>1</v>
      </c>
      <c r="G640" s="9" t="s">
        <v>90</v>
      </c>
      <c r="H640" s="9" t="s">
        <v>880</v>
      </c>
      <c r="I640" s="2">
        <f>VLOOKUP(B640,'[1]FM MIX OSCAR'!$A:$I,8,0)</f>
        <v>109108116</v>
      </c>
      <c r="J640" s="2"/>
    </row>
    <row r="641" spans="1:10" x14ac:dyDescent="0.3">
      <c r="A641" s="1">
        <v>640</v>
      </c>
      <c r="B641" s="7" t="s">
        <v>428</v>
      </c>
      <c r="C641" s="9" t="s">
        <v>1313</v>
      </c>
      <c r="D641" s="2"/>
      <c r="E641" s="9" t="s">
        <v>386</v>
      </c>
      <c r="F641" s="2">
        <v>2</v>
      </c>
      <c r="G641" s="9" t="s">
        <v>90</v>
      </c>
      <c r="H641" s="9" t="s">
        <v>387</v>
      </c>
      <c r="I641" s="2">
        <f>VLOOKUP(B641,'[1]FM MIX OSCAR'!$A:$I,8,0)</f>
        <v>6248412</v>
      </c>
      <c r="J641" s="2">
        <f>VLOOKUP(B641,'[1]FM MIX OSCAR'!$A:$I,9,0)</f>
        <v>33</v>
      </c>
    </row>
    <row r="642" spans="1:10" x14ac:dyDescent="0.3">
      <c r="A642" s="1">
        <v>641</v>
      </c>
      <c r="B642" s="7" t="s">
        <v>692</v>
      </c>
      <c r="C642" s="9" t="s">
        <v>1313</v>
      </c>
      <c r="D642" s="2"/>
      <c r="E642" s="9" t="s">
        <v>693</v>
      </c>
      <c r="F642" s="2">
        <v>2</v>
      </c>
      <c r="G642" s="9" t="s">
        <v>84</v>
      </c>
      <c r="H642" s="9" t="s">
        <v>694</v>
      </c>
      <c r="I642" s="2">
        <f>VLOOKUP(B642,'[1]FM MIX OSCAR'!$A:$I,8,0)</f>
        <v>644688</v>
      </c>
      <c r="J642" s="2">
        <f>VLOOKUP(B642,'[1]FM MIX OSCAR'!$A:$I,9,0)</f>
        <v>11</v>
      </c>
    </row>
    <row r="643" spans="1:10" x14ac:dyDescent="0.3">
      <c r="A643" s="1">
        <v>642</v>
      </c>
      <c r="B643" s="7" t="s">
        <v>689</v>
      </c>
      <c r="C643" s="9" t="s">
        <v>1313</v>
      </c>
      <c r="D643" s="2"/>
      <c r="E643" s="9" t="s">
        <v>690</v>
      </c>
      <c r="F643" s="2">
        <v>2</v>
      </c>
      <c r="G643" s="9" t="s">
        <v>84</v>
      </c>
      <c r="H643" s="9" t="s">
        <v>691</v>
      </c>
      <c r="I643" s="2">
        <f>VLOOKUP(B643,'[1]FM MIX OSCAR'!$A:$I,8,0)</f>
        <v>571428</v>
      </c>
      <c r="J643" s="2">
        <f>VLOOKUP(B643,'[1]FM MIX OSCAR'!$A:$I,9,0)</f>
        <v>4</v>
      </c>
    </row>
    <row r="644" spans="1:10" x14ac:dyDescent="0.3">
      <c r="A644" s="1">
        <v>643</v>
      </c>
      <c r="B644" s="7" t="s">
        <v>617</v>
      </c>
      <c r="C644" s="9" t="s">
        <v>1313</v>
      </c>
      <c r="D644" s="2"/>
      <c r="E644" s="9" t="s">
        <v>120</v>
      </c>
      <c r="F644" s="2">
        <v>2</v>
      </c>
      <c r="G644" s="9" t="s">
        <v>90</v>
      </c>
      <c r="H644" s="9" t="s">
        <v>387</v>
      </c>
      <c r="I644" s="2">
        <f>VLOOKUP(B644,'[1]FM MIX OSCAR'!$A:$I,8,0)</f>
        <v>2802528</v>
      </c>
      <c r="J644" s="2">
        <f>VLOOKUP(B644,'[1]FM MIX OSCAR'!$A:$I,9,0)</f>
        <v>25</v>
      </c>
    </row>
    <row r="645" spans="1:10" x14ac:dyDescent="0.3">
      <c r="A645" s="1">
        <v>644</v>
      </c>
      <c r="B645" s="7" t="s">
        <v>695</v>
      </c>
      <c r="C645" s="9" t="s">
        <v>1313</v>
      </c>
      <c r="D645" s="2"/>
      <c r="E645" s="9" t="s">
        <v>696</v>
      </c>
      <c r="F645" s="2">
        <v>2</v>
      </c>
      <c r="G645" s="9" t="s">
        <v>84</v>
      </c>
      <c r="H645" s="9" t="s">
        <v>697</v>
      </c>
      <c r="I645" s="2">
        <f>VLOOKUP(B645,'[1]FM MIX OSCAR'!$A:$I,8,0)</f>
        <v>6660.0000000000009</v>
      </c>
      <c r="J645" s="2">
        <f>VLOOKUP(B645,'[1]FM MIX OSCAR'!$A:$I,9,0)</f>
        <v>20</v>
      </c>
    </row>
    <row r="646" spans="1:10" x14ac:dyDescent="0.3">
      <c r="A646" s="1">
        <v>645</v>
      </c>
      <c r="B646" s="7" t="s">
        <v>385</v>
      </c>
      <c r="C646" s="9" t="s">
        <v>1313</v>
      </c>
      <c r="D646" s="2"/>
      <c r="E646" s="9" t="s">
        <v>386</v>
      </c>
      <c r="F646" s="2">
        <v>2</v>
      </c>
      <c r="G646" s="9" t="s">
        <v>90</v>
      </c>
      <c r="H646" s="9" t="s">
        <v>387</v>
      </c>
      <c r="I646" s="2">
        <f>VLOOKUP(B646,'[1]FM MIX OSCAR'!$A:$I,8,0)</f>
        <v>8006652.0000000009</v>
      </c>
      <c r="J646" s="2">
        <f>VLOOKUP(B646,'[1]FM MIX OSCAR'!$A:$I,9,0)</f>
        <v>21</v>
      </c>
    </row>
    <row r="647" spans="1:10" x14ac:dyDescent="0.3">
      <c r="A647" s="1">
        <v>646</v>
      </c>
      <c r="B647" s="7" t="s">
        <v>632</v>
      </c>
      <c r="C647" s="9" t="s">
        <v>1313</v>
      </c>
      <c r="D647" s="2"/>
      <c r="E647" s="9" t="s">
        <v>633</v>
      </c>
      <c r="F647" s="2">
        <v>1</v>
      </c>
      <c r="G647" s="9" t="s">
        <v>90</v>
      </c>
      <c r="H647" s="9" t="s">
        <v>634</v>
      </c>
      <c r="I647" s="2">
        <f>VLOOKUP(B647,'[1]FM MIX OSCAR'!$A:$I,8,0)</f>
        <v>60170436.000000007</v>
      </c>
      <c r="J647" s="2"/>
    </row>
    <row r="648" spans="1:10" x14ac:dyDescent="0.3">
      <c r="A648" s="1">
        <v>647</v>
      </c>
      <c r="B648" s="7" t="s">
        <v>701</v>
      </c>
      <c r="C648" s="9" t="s">
        <v>1313</v>
      </c>
      <c r="D648" s="2"/>
      <c r="E648" s="9" t="s">
        <v>702</v>
      </c>
      <c r="F648" s="2">
        <v>4</v>
      </c>
      <c r="G648" s="9" t="s">
        <v>84</v>
      </c>
      <c r="H648" s="9" t="s">
        <v>703</v>
      </c>
      <c r="I648" s="2">
        <f>VLOOKUP(B648,'[1]FM MIX OSCAR'!$A:$I,8,0)</f>
        <v>3996</v>
      </c>
      <c r="J648" s="2">
        <f>VLOOKUP(B648,'[1]FM MIX OSCAR'!$A:$I,9,0)</f>
        <v>3</v>
      </c>
    </row>
    <row r="649" spans="1:10" x14ac:dyDescent="0.3">
      <c r="A649" s="1">
        <v>648</v>
      </c>
      <c r="B649" s="7" t="s">
        <v>624</v>
      </c>
      <c r="C649" s="9" t="s">
        <v>1313</v>
      </c>
      <c r="D649" s="2"/>
      <c r="E649" s="9" t="s">
        <v>117</v>
      </c>
      <c r="F649" s="2">
        <v>4</v>
      </c>
      <c r="G649" s="9" t="s">
        <v>84</v>
      </c>
      <c r="H649" s="9" t="s">
        <v>118</v>
      </c>
      <c r="I649" s="2">
        <f>VLOOKUP(B649,'[1]FM MIX OSCAR'!$A:$I,8,0)</f>
        <v>733932</v>
      </c>
      <c r="J649" s="2">
        <f>VLOOKUP(B649,'[1]FM MIX OSCAR'!$A:$I,9,0)</f>
        <v>2</v>
      </c>
    </row>
    <row r="650" spans="1:10" x14ac:dyDescent="0.3">
      <c r="A650" s="1">
        <v>649</v>
      </c>
      <c r="B650" s="7" t="s">
        <v>618</v>
      </c>
      <c r="C650" s="9" t="s">
        <v>1313</v>
      </c>
      <c r="D650" s="2"/>
      <c r="E650" s="9" t="s">
        <v>619</v>
      </c>
      <c r="F650" s="2">
        <v>4</v>
      </c>
      <c r="G650" s="9" t="s">
        <v>69</v>
      </c>
      <c r="H650" s="9" t="s">
        <v>620</v>
      </c>
      <c r="I650" s="2">
        <f>VLOOKUP(B650,'[1]FM MIX OSCAR'!$A:$I,8,0)</f>
        <v>126540</v>
      </c>
      <c r="J650" s="2">
        <f>VLOOKUP(B650,'[1]FM MIX OSCAR'!$A:$I,9,0)</f>
        <v>377</v>
      </c>
    </row>
    <row r="651" spans="1:10" x14ac:dyDescent="0.3">
      <c r="A651" s="1">
        <v>650</v>
      </c>
      <c r="B651" s="7" t="s">
        <v>625</v>
      </c>
      <c r="C651" s="9" t="s">
        <v>1313</v>
      </c>
      <c r="D651" s="2"/>
      <c r="E651" s="9" t="s">
        <v>626</v>
      </c>
      <c r="F651" s="2">
        <v>2</v>
      </c>
      <c r="G651" s="9" t="s">
        <v>84</v>
      </c>
      <c r="H651" s="9" t="s">
        <v>627</v>
      </c>
      <c r="I651" s="2">
        <f>VLOOKUP(B651,'[1]FM MIX OSCAR'!$A:$I,8,0)</f>
        <v>34632</v>
      </c>
      <c r="J651" s="2"/>
    </row>
    <row r="652" spans="1:10" x14ac:dyDescent="0.3">
      <c r="A652" s="1">
        <v>651</v>
      </c>
      <c r="B652" s="7" t="s">
        <v>902</v>
      </c>
      <c r="C652" s="9" t="s">
        <v>1313</v>
      </c>
      <c r="D652" s="2"/>
      <c r="E652" s="9" t="s">
        <v>903</v>
      </c>
      <c r="F652" s="2">
        <v>20</v>
      </c>
      <c r="G652" s="9" t="s">
        <v>167</v>
      </c>
      <c r="H652" s="9" t="s">
        <v>904</v>
      </c>
      <c r="I652" s="2">
        <f>VLOOKUP(B652,'[1]FM MIX OSCAR'!$A:$I,8,0)</f>
        <v>27972</v>
      </c>
      <c r="J652" s="2">
        <f>VLOOKUP(B652,'[1]FM MIX OSCAR'!$A:$I,9,0)</f>
        <v>2631</v>
      </c>
    </row>
    <row r="653" spans="1:10" x14ac:dyDescent="0.3">
      <c r="A653" s="1">
        <v>652</v>
      </c>
      <c r="B653" s="7" t="s">
        <v>621</v>
      </c>
      <c r="C653" s="9" t="s">
        <v>1313</v>
      </c>
      <c r="D653" s="2"/>
      <c r="E653" s="9" t="s">
        <v>622</v>
      </c>
      <c r="F653" s="2">
        <v>4</v>
      </c>
      <c r="G653" s="9" t="s">
        <v>69</v>
      </c>
      <c r="H653" s="9" t="s">
        <v>623</v>
      </c>
      <c r="I653" s="2">
        <f>VLOOKUP(B653,'[1]FM MIX OSCAR'!$A:$I,8,0)</f>
        <v>98568</v>
      </c>
      <c r="J653" s="2">
        <f>VLOOKUP(B653,'[1]FM MIX OSCAR'!$A:$I,9,0)</f>
        <v>858</v>
      </c>
    </row>
    <row r="654" spans="1:10" x14ac:dyDescent="0.3">
      <c r="A654" s="1">
        <v>653</v>
      </c>
      <c r="B654" s="7" t="s">
        <v>698</v>
      </c>
      <c r="C654" s="9" t="s">
        <v>1313</v>
      </c>
      <c r="D654" s="2"/>
      <c r="E654" s="9" t="s">
        <v>699</v>
      </c>
      <c r="F654" s="2">
        <v>4</v>
      </c>
      <c r="G654" s="9" t="s">
        <v>84</v>
      </c>
      <c r="H654" s="9" t="s">
        <v>700</v>
      </c>
      <c r="I654" s="2">
        <f>VLOOKUP(B654,'[1]FM MIX OSCAR'!$A:$I,8,0)</f>
        <v>3996</v>
      </c>
      <c r="J654" s="2"/>
    </row>
    <row r="655" spans="1:10" x14ac:dyDescent="0.3">
      <c r="A655" s="1">
        <v>654</v>
      </c>
      <c r="B655" s="7" t="s">
        <v>379</v>
      </c>
      <c r="C655" s="9" t="s">
        <v>1313</v>
      </c>
      <c r="D655" s="2"/>
      <c r="E655" s="9" t="s">
        <v>380</v>
      </c>
      <c r="F655" s="2">
        <v>1</v>
      </c>
      <c r="G655" s="9" t="s">
        <v>90</v>
      </c>
      <c r="H655" s="9" t="s">
        <v>381</v>
      </c>
      <c r="I655" s="2">
        <f>VLOOKUP(B655,'[1]FM MIX OSCAR'!$A:$I,8,0)</f>
        <v>3343320</v>
      </c>
      <c r="J655" s="2">
        <f>VLOOKUP(B655,'[1]FM MIX OSCAR'!$A:$I,9,0)</f>
        <v>2</v>
      </c>
    </row>
    <row r="656" spans="1:10" x14ac:dyDescent="0.3">
      <c r="A656" s="1">
        <v>655</v>
      </c>
      <c r="B656" s="7" t="s">
        <v>639</v>
      </c>
      <c r="C656" s="9" t="s">
        <v>1313</v>
      </c>
      <c r="D656" s="2"/>
      <c r="E656" s="9" t="s">
        <v>640</v>
      </c>
      <c r="F656" s="2">
        <v>1</v>
      </c>
      <c r="G656" s="9" t="s">
        <v>90</v>
      </c>
      <c r="H656" s="9" t="s">
        <v>641</v>
      </c>
      <c r="I656" s="2">
        <f>VLOOKUP(B656,'[1]FM MIX OSCAR'!$A:$I,8,0)</f>
        <v>27599040</v>
      </c>
      <c r="J656" s="2"/>
    </row>
    <row r="657" spans="1:10" x14ac:dyDescent="0.3">
      <c r="A657" s="1">
        <v>656</v>
      </c>
      <c r="B657" s="7" t="s">
        <v>863</v>
      </c>
      <c r="C657" s="9" t="s">
        <v>1313</v>
      </c>
      <c r="D657" s="2"/>
      <c r="E657" s="9" t="s">
        <v>864</v>
      </c>
      <c r="F657" s="2">
        <v>2</v>
      </c>
      <c r="G657" s="9" t="s">
        <v>84</v>
      </c>
      <c r="H657" s="9" t="s">
        <v>865</v>
      </c>
      <c r="I657" s="2">
        <f>VLOOKUP(B657,'[1]FM MIX OSCAR'!$A:$I,8,0)</f>
        <v>121212</v>
      </c>
      <c r="J657" s="2"/>
    </row>
    <row r="658" spans="1:10" x14ac:dyDescent="0.3">
      <c r="A658" s="1">
        <v>657</v>
      </c>
      <c r="B658" s="7" t="s">
        <v>866</v>
      </c>
      <c r="C658" s="9" t="s">
        <v>1313</v>
      </c>
      <c r="D658" s="2"/>
      <c r="E658" s="9" t="s">
        <v>867</v>
      </c>
      <c r="F658" s="2">
        <v>2</v>
      </c>
      <c r="G658" s="9" t="s">
        <v>151</v>
      </c>
      <c r="H658" s="9" t="s">
        <v>868</v>
      </c>
      <c r="I658" s="2">
        <f>VLOOKUP(B658,'[1]FM MIX OSCAR'!$A:$I,8,0)</f>
        <v>803196.00000000012</v>
      </c>
      <c r="J658" s="2"/>
    </row>
    <row r="659" spans="1:10" x14ac:dyDescent="0.3">
      <c r="A659" s="1">
        <v>658</v>
      </c>
      <c r="B659" s="7" t="s">
        <v>869</v>
      </c>
      <c r="C659" s="9" t="s">
        <v>1313</v>
      </c>
      <c r="D659" s="2"/>
      <c r="E659" s="9" t="s">
        <v>559</v>
      </c>
      <c r="F659" s="2">
        <v>2</v>
      </c>
      <c r="G659" s="9" t="s">
        <v>90</v>
      </c>
      <c r="H659" s="9" t="s">
        <v>870</v>
      </c>
      <c r="I659" s="2">
        <f>VLOOKUP(B659,'[1]FM MIX OSCAR'!$A:$I,8,0)</f>
        <v>9324</v>
      </c>
      <c r="J659" s="2"/>
    </row>
    <row r="660" spans="1:10" x14ac:dyDescent="0.3">
      <c r="A660" s="1">
        <v>659</v>
      </c>
      <c r="B660" s="7" t="s">
        <v>376</v>
      </c>
      <c r="C660" s="9" t="s">
        <v>1313</v>
      </c>
      <c r="D660" s="2"/>
      <c r="E660" s="9" t="s">
        <v>377</v>
      </c>
      <c r="F660" s="2">
        <v>2</v>
      </c>
      <c r="G660" s="9" t="s">
        <v>90</v>
      </c>
      <c r="H660" s="9" t="s">
        <v>378</v>
      </c>
      <c r="I660" s="2">
        <f>VLOOKUP(B660,'[1]FM MIX OSCAR'!$A:$I,8,0)</f>
        <v>643356</v>
      </c>
      <c r="J660" s="2">
        <f>VLOOKUP(B660,'[1]FM MIX OSCAR'!$A:$I,9,0)</f>
        <v>7</v>
      </c>
    </row>
    <row r="661" spans="1:10" x14ac:dyDescent="0.3">
      <c r="A661" s="1">
        <v>660</v>
      </c>
      <c r="B661" s="7" t="s">
        <v>426</v>
      </c>
      <c r="C661" s="9" t="s">
        <v>1313</v>
      </c>
      <c r="D661" s="2"/>
      <c r="E661" s="9" t="s">
        <v>425</v>
      </c>
      <c r="F661" s="2">
        <v>2</v>
      </c>
      <c r="G661" s="9" t="s">
        <v>90</v>
      </c>
      <c r="H661" s="9" t="s">
        <v>427</v>
      </c>
      <c r="I661" s="2">
        <f>VLOOKUP(B661,'[1]FM MIX OSCAR'!$A:$I,8,0)</f>
        <v>614052</v>
      </c>
      <c r="J661" s="2">
        <f>VLOOKUP(B661,'[1]FM MIX OSCAR'!$A:$I,9,0)</f>
        <v>3</v>
      </c>
    </row>
    <row r="662" spans="1:10" x14ac:dyDescent="0.3">
      <c r="A662" s="1">
        <v>661</v>
      </c>
      <c r="B662" s="7" t="s">
        <v>635</v>
      </c>
      <c r="C662" s="9" t="s">
        <v>1313</v>
      </c>
      <c r="D662" s="2"/>
      <c r="E662" s="9" t="s">
        <v>636</v>
      </c>
      <c r="F662" s="2">
        <v>2</v>
      </c>
      <c r="G662" s="9" t="s">
        <v>90</v>
      </c>
      <c r="H662" s="9" t="s">
        <v>136</v>
      </c>
      <c r="I662" s="2">
        <f>VLOOKUP(B662,'[1]FM MIX OSCAR'!$A:$I,8,0)</f>
        <v>9863460</v>
      </c>
      <c r="J662" s="2">
        <f>VLOOKUP(B662,'[1]FM MIX OSCAR'!$A:$I,9,0)</f>
        <v>3</v>
      </c>
    </row>
    <row r="663" spans="1:10" x14ac:dyDescent="0.3">
      <c r="A663" s="1">
        <v>662</v>
      </c>
      <c r="B663" s="7" t="s">
        <v>644</v>
      </c>
      <c r="C663" s="9" t="s">
        <v>1313</v>
      </c>
      <c r="D663" s="2"/>
      <c r="E663" s="9" t="s">
        <v>645</v>
      </c>
      <c r="F663" s="2">
        <v>2</v>
      </c>
      <c r="G663" s="9" t="s">
        <v>84</v>
      </c>
      <c r="H663" s="9" t="s">
        <v>646</v>
      </c>
      <c r="I663" s="2">
        <f>VLOOKUP(B663,'[1]FM MIX OSCAR'!$A:$I,8,0)</f>
        <v>45288</v>
      </c>
      <c r="J663" s="2"/>
    </row>
    <row r="664" spans="1:10" x14ac:dyDescent="0.3">
      <c r="A664" s="1">
        <v>663</v>
      </c>
      <c r="B664" s="7" t="s">
        <v>637</v>
      </c>
      <c r="C664" s="9" t="s">
        <v>1313</v>
      </c>
      <c r="D664" s="2"/>
      <c r="E664" s="9" t="s">
        <v>638</v>
      </c>
      <c r="F664" s="2">
        <v>2</v>
      </c>
      <c r="G664" s="9" t="s">
        <v>90</v>
      </c>
      <c r="H664" s="9" t="s">
        <v>133</v>
      </c>
      <c r="I664" s="2">
        <f>VLOOKUP(B664,'[1]FM MIX OSCAR'!$A:$I,8,0)</f>
        <v>13186800</v>
      </c>
      <c r="J664" s="2"/>
    </row>
    <row r="665" spans="1:10" x14ac:dyDescent="0.3">
      <c r="A665" s="1">
        <v>664</v>
      </c>
      <c r="B665" s="7" t="s">
        <v>860</v>
      </c>
      <c r="C665" s="9" t="s">
        <v>1313</v>
      </c>
      <c r="D665" s="2"/>
      <c r="E665" s="9" t="s">
        <v>861</v>
      </c>
      <c r="F665" s="2">
        <v>1</v>
      </c>
      <c r="G665" s="9" t="s">
        <v>90</v>
      </c>
      <c r="H665" s="9" t="s">
        <v>862</v>
      </c>
      <c r="I665" s="2">
        <f>VLOOKUP(B665,'[1]FM MIX OSCAR'!$A:$I,8,0)</f>
        <v>67932</v>
      </c>
      <c r="J665" s="2">
        <f>VLOOKUP(B665,'[1]FM MIX OSCAR'!$A:$I,9,0)</f>
        <v>121</v>
      </c>
    </row>
    <row r="666" spans="1:10" x14ac:dyDescent="0.3">
      <c r="A666" s="1">
        <v>665</v>
      </c>
      <c r="B666" s="7" t="s">
        <v>647</v>
      </c>
      <c r="C666" s="9" t="s">
        <v>1313</v>
      </c>
      <c r="D666" s="2"/>
      <c r="E666" s="9" t="s">
        <v>648</v>
      </c>
      <c r="F666" s="2">
        <v>2</v>
      </c>
      <c r="G666" s="9" t="s">
        <v>84</v>
      </c>
      <c r="H666" s="9" t="s">
        <v>649</v>
      </c>
      <c r="I666" s="2">
        <f>VLOOKUP(B666,'[1]FM MIX OSCAR'!$A:$I,8,0)</f>
        <v>432900.00000000012</v>
      </c>
      <c r="J666" s="2">
        <f>VLOOKUP(B666,'[1]FM MIX OSCAR'!$A:$I,9,0)</f>
        <v>11</v>
      </c>
    </row>
    <row r="667" spans="1:10" x14ac:dyDescent="0.3">
      <c r="A667" s="1">
        <v>666</v>
      </c>
      <c r="B667" s="7" t="s">
        <v>871</v>
      </c>
      <c r="C667" s="9" t="s">
        <v>1313</v>
      </c>
      <c r="D667" s="2"/>
      <c r="E667" s="9" t="s">
        <v>872</v>
      </c>
      <c r="F667" s="2">
        <v>2</v>
      </c>
      <c r="G667" s="9" t="s">
        <v>873</v>
      </c>
      <c r="H667" s="9" t="s">
        <v>874</v>
      </c>
      <c r="I667" s="2"/>
      <c r="J667" s="2"/>
    </row>
    <row r="668" spans="1:10" x14ac:dyDescent="0.3">
      <c r="A668" s="1">
        <v>667</v>
      </c>
      <c r="B668" s="7" t="s">
        <v>398</v>
      </c>
      <c r="C668" s="9" t="s">
        <v>1313</v>
      </c>
      <c r="D668" s="2"/>
      <c r="E668" s="9" t="s">
        <v>399</v>
      </c>
      <c r="F668" s="2">
        <v>1</v>
      </c>
      <c r="G668" s="9" t="s">
        <v>90</v>
      </c>
      <c r="H668" s="9" t="s">
        <v>400</v>
      </c>
      <c r="I668" s="2">
        <f>VLOOKUP(B668,'[1]FM MIX OSCAR'!$A:$I,8,0)</f>
        <v>15818832</v>
      </c>
      <c r="J668" s="2">
        <f>VLOOKUP(B668,'[1]FM MIX OSCAR'!$A:$I,9,0)</f>
        <v>1</v>
      </c>
    </row>
    <row r="669" spans="1:10" x14ac:dyDescent="0.3">
      <c r="A669" s="1">
        <v>668</v>
      </c>
      <c r="B669" s="7" t="s">
        <v>433</v>
      </c>
      <c r="C669" s="9" t="s">
        <v>1313</v>
      </c>
      <c r="D669" s="2"/>
      <c r="E669" s="9" t="s">
        <v>406</v>
      </c>
      <c r="F669" s="2">
        <v>1</v>
      </c>
      <c r="G669" s="9" t="s">
        <v>90</v>
      </c>
      <c r="H669" s="9" t="s">
        <v>407</v>
      </c>
      <c r="I669" s="2">
        <f>VLOOKUP(B669,'[1]FM MIX OSCAR'!$A:$I,8,0)</f>
        <v>3656340</v>
      </c>
      <c r="J669" s="2"/>
    </row>
    <row r="670" spans="1:10" x14ac:dyDescent="0.3">
      <c r="A670" s="1">
        <v>669</v>
      </c>
      <c r="B670" s="7" t="s">
        <v>405</v>
      </c>
      <c r="C670" s="9" t="s">
        <v>1313</v>
      </c>
      <c r="D670" s="2"/>
      <c r="E670" s="9" t="s">
        <v>406</v>
      </c>
      <c r="F670" s="2">
        <v>1</v>
      </c>
      <c r="G670" s="9" t="s">
        <v>90</v>
      </c>
      <c r="H670" s="9" t="s">
        <v>407</v>
      </c>
      <c r="I670" s="2">
        <f>VLOOKUP(B670,'[1]FM MIX OSCAR'!$A:$I,8,0)</f>
        <v>4408920</v>
      </c>
      <c r="J670" s="2"/>
    </row>
    <row r="671" spans="1:10" x14ac:dyDescent="0.3">
      <c r="A671" s="1">
        <v>670</v>
      </c>
      <c r="B671" s="7" t="s">
        <v>664</v>
      </c>
      <c r="C671" s="9" t="s">
        <v>1313</v>
      </c>
      <c r="D671" s="2"/>
      <c r="E671" s="9" t="s">
        <v>665</v>
      </c>
      <c r="F671" s="2">
        <v>1</v>
      </c>
      <c r="G671" s="9" t="s">
        <v>90</v>
      </c>
      <c r="H671" s="9" t="s">
        <v>552</v>
      </c>
      <c r="I671" s="2">
        <f>VLOOKUP(B671,'[1]FM MIX OSCAR'!$A:$I,8,0)</f>
        <v>298368</v>
      </c>
      <c r="J671" s="2"/>
    </row>
    <row r="672" spans="1:10" x14ac:dyDescent="0.3">
      <c r="A672" s="1">
        <v>671</v>
      </c>
      <c r="B672" s="7" t="s">
        <v>651</v>
      </c>
      <c r="C672" s="9" t="s">
        <v>1313</v>
      </c>
      <c r="D672" s="2"/>
      <c r="E672" s="9" t="s">
        <v>652</v>
      </c>
      <c r="F672" s="2">
        <v>1</v>
      </c>
      <c r="G672" s="9" t="s">
        <v>90</v>
      </c>
      <c r="H672" s="9" t="s">
        <v>653</v>
      </c>
      <c r="I672" s="2">
        <f>VLOOKUP(B672,'[1]FM MIX OSCAR'!$A:$I,8,0)</f>
        <v>2429568</v>
      </c>
      <c r="J672" s="2">
        <f>VLOOKUP(B672,'[1]FM MIX OSCAR'!$A:$I,9,0)</f>
        <v>2</v>
      </c>
    </row>
    <row r="673" spans="1:10" x14ac:dyDescent="0.3">
      <c r="A673" s="1">
        <v>672</v>
      </c>
      <c r="B673" s="7" t="s">
        <v>906</v>
      </c>
      <c r="C673" s="9" t="s">
        <v>1313</v>
      </c>
      <c r="D673" s="2"/>
      <c r="E673" s="9" t="s">
        <v>907</v>
      </c>
      <c r="F673" s="2">
        <v>1</v>
      </c>
      <c r="G673" s="9" t="s">
        <v>90</v>
      </c>
      <c r="H673" s="9" t="s">
        <v>653</v>
      </c>
      <c r="I673" s="2">
        <f>VLOOKUP(B673,'[1]FM MIX OSCAR'!$A:$I,8,0)</f>
        <v>3210120</v>
      </c>
      <c r="J673" s="2">
        <f>VLOOKUP(B673,'[1]FM MIX OSCAR'!$A:$I,9,0)</f>
        <v>6</v>
      </c>
    </row>
    <row r="674" spans="1:10" x14ac:dyDescent="0.3">
      <c r="A674" s="1">
        <v>673</v>
      </c>
      <c r="B674" s="7" t="s">
        <v>525</v>
      </c>
      <c r="C674" s="9" t="s">
        <v>1313</v>
      </c>
      <c r="D674" s="2"/>
      <c r="E674" s="9" t="s">
        <v>526</v>
      </c>
      <c r="F674" s="2">
        <v>1</v>
      </c>
      <c r="G674" s="9" t="s">
        <v>90</v>
      </c>
      <c r="H674" s="9" t="s">
        <v>235</v>
      </c>
      <c r="I674" s="2">
        <f>VLOOKUP(B674,'[1]FM MIX OSCAR'!$A:$I,8,0)</f>
        <v>121130748</v>
      </c>
      <c r="J674" s="2"/>
    </row>
    <row r="675" spans="1:10" x14ac:dyDescent="0.3">
      <c r="A675" s="1">
        <v>674</v>
      </c>
      <c r="B675" s="7" t="s">
        <v>459</v>
      </c>
      <c r="C675" s="9" t="s">
        <v>1313</v>
      </c>
      <c r="D675" s="2"/>
      <c r="E675" s="9" t="s">
        <v>375</v>
      </c>
      <c r="F675" s="2">
        <v>2</v>
      </c>
      <c r="G675" s="9" t="s">
        <v>90</v>
      </c>
      <c r="H675" s="9" t="s">
        <v>460</v>
      </c>
      <c r="I675" s="2">
        <f>VLOOKUP(B675,'[1]FM MIX OSCAR'!$A:$I,8,0)</f>
        <v>25871436</v>
      </c>
      <c r="J675" s="2"/>
    </row>
    <row r="676" spans="1:10" x14ac:dyDescent="0.3">
      <c r="A676" s="1">
        <v>675</v>
      </c>
      <c r="B676" s="7" t="s">
        <v>423</v>
      </c>
      <c r="C676" s="9" t="s">
        <v>1313</v>
      </c>
      <c r="D676" s="2"/>
      <c r="E676" s="9" t="s">
        <v>424</v>
      </c>
      <c r="F676" s="2">
        <v>2</v>
      </c>
      <c r="G676" s="9" t="s">
        <v>90</v>
      </c>
      <c r="H676" s="9" t="s">
        <v>238</v>
      </c>
      <c r="I676" s="2">
        <f>VLOOKUP(B676,'[1]FM MIX OSCAR'!$A:$I,8,0)</f>
        <v>34663968</v>
      </c>
      <c r="J676" s="2">
        <f>VLOOKUP(B676,'[1]FM MIX OSCAR'!$A:$I,9,0)</f>
        <v>1</v>
      </c>
    </row>
    <row r="677" spans="1:10" x14ac:dyDescent="0.3">
      <c r="A677" s="1">
        <v>676</v>
      </c>
      <c r="B677" s="7" t="s">
        <v>680</v>
      </c>
      <c r="C677" s="9" t="s">
        <v>1313</v>
      </c>
      <c r="D677" s="2"/>
      <c r="E677" s="9" t="s">
        <v>681</v>
      </c>
      <c r="F677" s="2">
        <v>1</v>
      </c>
      <c r="G677" s="9" t="s">
        <v>682</v>
      </c>
      <c r="H677" s="9" t="s">
        <v>683</v>
      </c>
      <c r="I677" s="2">
        <f>VLOOKUP(B677,'[1]FM MIX OSCAR'!$A:$I,8,0)</f>
        <v>111888</v>
      </c>
      <c r="J677" s="2"/>
    </row>
    <row r="678" spans="1:10" x14ac:dyDescent="0.3">
      <c r="A678" s="1">
        <v>677</v>
      </c>
      <c r="B678" s="7" t="s">
        <v>684</v>
      </c>
      <c r="C678" s="9" t="s">
        <v>1313</v>
      </c>
      <c r="D678" s="2"/>
      <c r="E678" s="9" t="s">
        <v>685</v>
      </c>
      <c r="F678" s="2">
        <v>2</v>
      </c>
      <c r="G678" s="9" t="s">
        <v>682</v>
      </c>
      <c r="H678" s="9" t="s">
        <v>686</v>
      </c>
      <c r="I678" s="2">
        <f>VLOOKUP(B678,'[1]FM MIX OSCAR'!$A:$I,8,0)</f>
        <v>86580</v>
      </c>
      <c r="J678" s="2"/>
    </row>
    <row r="679" spans="1:10" x14ac:dyDescent="0.3">
      <c r="A679" s="1">
        <v>678</v>
      </c>
      <c r="B679" s="7" t="s">
        <v>352</v>
      </c>
      <c r="C679" s="9" t="s">
        <v>1313</v>
      </c>
      <c r="D679" s="2"/>
      <c r="E679" s="9" t="s">
        <v>353</v>
      </c>
      <c r="F679" s="2">
        <v>1</v>
      </c>
      <c r="G679" s="9" t="s">
        <v>69</v>
      </c>
      <c r="H679" s="9" t="s">
        <v>354</v>
      </c>
      <c r="I679" s="2">
        <f>VLOOKUP(B679,'[1]FM MIX OSCAR'!$A:$I,8,0)</f>
        <v>2433564</v>
      </c>
      <c r="J679" s="2">
        <f>VLOOKUP(B679,'[1]FM MIX OSCAR'!$A:$I,9,0)</f>
        <v>20</v>
      </c>
    </row>
    <row r="680" spans="1:10" x14ac:dyDescent="0.3">
      <c r="A680" s="1">
        <v>679</v>
      </c>
      <c r="B680" s="7" t="s">
        <v>846</v>
      </c>
      <c r="C680" s="9" t="s">
        <v>1313</v>
      </c>
      <c r="D680" s="2"/>
      <c r="E680" s="9" t="s">
        <v>368</v>
      </c>
      <c r="F680" s="2">
        <v>2</v>
      </c>
      <c r="G680" s="9" t="s">
        <v>90</v>
      </c>
      <c r="H680" s="9" t="s">
        <v>369</v>
      </c>
      <c r="I680" s="2">
        <f>VLOOKUP(B680,'[1]FM MIX OSCAR'!$A:$I,8,0)</f>
        <v>338328</v>
      </c>
      <c r="J680" s="2">
        <f>VLOOKUP(B680,'[1]FM MIX OSCAR'!$A:$I,9,0)</f>
        <v>3</v>
      </c>
    </row>
    <row r="681" spans="1:10" x14ac:dyDescent="0.3">
      <c r="A681" s="1">
        <v>680</v>
      </c>
      <c r="B681" s="7" t="s">
        <v>847</v>
      </c>
      <c r="C681" s="9" t="s">
        <v>1313</v>
      </c>
      <c r="D681" s="2"/>
      <c r="E681" s="9" t="s">
        <v>368</v>
      </c>
      <c r="F681" s="2">
        <v>1</v>
      </c>
      <c r="G681" s="9" t="s">
        <v>90</v>
      </c>
      <c r="H681" s="9" t="s">
        <v>848</v>
      </c>
      <c r="I681" s="2">
        <f>VLOOKUP(B681,'[1]FM MIX OSCAR'!$A:$I,8,0)</f>
        <v>538128</v>
      </c>
      <c r="J681" s="2">
        <f>VLOOKUP(B681,'[1]FM MIX OSCAR'!$A:$I,9,0)</f>
        <v>4</v>
      </c>
    </row>
    <row r="682" spans="1:10" x14ac:dyDescent="0.3">
      <c r="A682" s="1">
        <v>681</v>
      </c>
      <c r="B682" s="7" t="s">
        <v>917</v>
      </c>
      <c r="C682" s="9" t="s">
        <v>1313</v>
      </c>
      <c r="D682" s="2"/>
      <c r="E682" s="9" t="s">
        <v>918</v>
      </c>
      <c r="F682" s="2">
        <v>1</v>
      </c>
      <c r="G682" s="9" t="s">
        <v>90</v>
      </c>
      <c r="H682" s="9" t="s">
        <v>919</v>
      </c>
      <c r="I682" s="2">
        <f>VLOOKUP(B682,'[1]FM MIX OSCAR'!$A:$I,8,0)</f>
        <v>1589076</v>
      </c>
      <c r="J682" s="2">
        <f>VLOOKUP(B682,'[1]FM MIX OSCAR'!$A:$I,9,0)</f>
        <v>17</v>
      </c>
    </row>
    <row r="683" spans="1:10" x14ac:dyDescent="0.3">
      <c r="A683" s="1">
        <v>682</v>
      </c>
      <c r="B683" s="7" t="s">
        <v>920</v>
      </c>
      <c r="C683" s="9" t="s">
        <v>1313</v>
      </c>
      <c r="D683" s="2"/>
      <c r="E683" s="9" t="s">
        <v>921</v>
      </c>
      <c r="F683" s="2">
        <v>4</v>
      </c>
      <c r="G683" s="9" t="s">
        <v>90</v>
      </c>
      <c r="H683" s="9" t="s">
        <v>922</v>
      </c>
      <c r="I683" s="2">
        <f>VLOOKUP(B683,'[1]FM MIX OSCAR'!$A:$I,8,0)</f>
        <v>321012</v>
      </c>
      <c r="J683" s="2"/>
    </row>
    <row r="684" spans="1:10" x14ac:dyDescent="0.3">
      <c r="A684" s="1">
        <v>683</v>
      </c>
      <c r="B684" s="7" t="s">
        <v>856</v>
      </c>
      <c r="C684" s="9" t="s">
        <v>1313</v>
      </c>
      <c r="D684" s="2"/>
      <c r="E684" s="9" t="s">
        <v>857</v>
      </c>
      <c r="F684" s="2">
        <v>3</v>
      </c>
      <c r="G684" s="9" t="s">
        <v>858</v>
      </c>
      <c r="H684" s="9" t="s">
        <v>859</v>
      </c>
      <c r="I684" s="2">
        <f>VLOOKUP(B684,'[1]FM MIX OSCAR'!$A:$I,8,0)</f>
        <v>207792</v>
      </c>
      <c r="J684" s="2"/>
    </row>
    <row r="685" spans="1:10" x14ac:dyDescent="0.3">
      <c r="A685" s="1">
        <v>684</v>
      </c>
      <c r="B685" s="7" t="s">
        <v>362</v>
      </c>
      <c r="C685" s="9" t="s">
        <v>1313</v>
      </c>
      <c r="D685" s="2"/>
      <c r="E685" s="9" t="s">
        <v>363</v>
      </c>
      <c r="F685" s="2">
        <v>1</v>
      </c>
      <c r="G685" s="9" t="s">
        <v>90</v>
      </c>
      <c r="H685" s="9" t="s">
        <v>364</v>
      </c>
      <c r="I685" s="2">
        <f>VLOOKUP(B685,'[1]FM MIX OSCAR'!$A:$I,8,0)</f>
        <v>1718280</v>
      </c>
      <c r="J685" s="2"/>
    </row>
    <row r="686" spans="1:10" x14ac:dyDescent="0.3">
      <c r="A686" s="1">
        <v>685</v>
      </c>
      <c r="B686" s="7" t="s">
        <v>448</v>
      </c>
      <c r="C686" s="9" t="s">
        <v>1313</v>
      </c>
      <c r="D686" s="2"/>
      <c r="E686" s="9" t="s">
        <v>449</v>
      </c>
      <c r="F686" s="2">
        <v>1</v>
      </c>
      <c r="G686" s="9" t="s">
        <v>90</v>
      </c>
      <c r="H686" s="9" t="s">
        <v>450</v>
      </c>
      <c r="I686" s="2">
        <f>VLOOKUP(B686,'[1]FM MIX OSCAR'!$A:$I,8,0)</f>
        <v>1188144</v>
      </c>
      <c r="J686" s="2"/>
    </row>
    <row r="687" spans="1:10" x14ac:dyDescent="0.3">
      <c r="A687" s="1">
        <v>686</v>
      </c>
      <c r="B687" s="7" t="s">
        <v>849</v>
      </c>
      <c r="C687" s="9" t="s">
        <v>1313</v>
      </c>
      <c r="D687" s="2"/>
      <c r="E687" s="9" t="s">
        <v>850</v>
      </c>
      <c r="F687" s="2">
        <v>1</v>
      </c>
      <c r="G687" s="9" t="s">
        <v>851</v>
      </c>
      <c r="H687" s="9" t="s">
        <v>852</v>
      </c>
      <c r="I687" s="2">
        <f>VLOOKUP(B687,'[1]FM MIX OSCAR'!$A:$I,8,0)</f>
        <v>2725272</v>
      </c>
      <c r="J687" s="2"/>
    </row>
    <row r="688" spans="1:10" x14ac:dyDescent="0.3">
      <c r="A688" s="1">
        <v>687</v>
      </c>
      <c r="B688" s="7" t="s">
        <v>853</v>
      </c>
      <c r="C688" s="9" t="s">
        <v>1313</v>
      </c>
      <c r="D688" s="2"/>
      <c r="E688" s="9" t="s">
        <v>854</v>
      </c>
      <c r="F688" s="2">
        <v>1</v>
      </c>
      <c r="G688" s="9" t="s">
        <v>69</v>
      </c>
      <c r="H688" s="9" t="s">
        <v>855</v>
      </c>
      <c r="I688" s="2">
        <f>VLOOKUP(B688,'[1]FM MIX OSCAR'!$A:$I,8,0)</f>
        <v>262404</v>
      </c>
      <c r="J688" s="2"/>
    </row>
    <row r="689" spans="1:10" x14ac:dyDescent="0.3">
      <c r="A689" s="1">
        <v>688</v>
      </c>
      <c r="B689" s="7" t="s">
        <v>372</v>
      </c>
      <c r="C689" s="9" t="s">
        <v>1313</v>
      </c>
      <c r="D689" s="2"/>
      <c r="E689" s="9" t="s">
        <v>419</v>
      </c>
      <c r="F689" s="2">
        <v>2</v>
      </c>
      <c r="G689" s="9" t="s">
        <v>90</v>
      </c>
      <c r="H689" s="9" t="s">
        <v>374</v>
      </c>
      <c r="I689" s="2">
        <f>VLOOKUP(B689,'[1]FM MIX OSCAR'!$A:$I,8,0)</f>
        <v>1449216</v>
      </c>
      <c r="J689" s="2">
        <f>VLOOKUP(B689,'[1]FM MIX OSCAR'!$A:$I,9,0)</f>
        <v>9</v>
      </c>
    </row>
    <row r="690" spans="1:10" x14ac:dyDescent="0.3">
      <c r="A690" s="1">
        <v>689</v>
      </c>
      <c r="B690" s="7" t="s">
        <v>420</v>
      </c>
      <c r="C690" s="9" t="s">
        <v>1313</v>
      </c>
      <c r="D690" s="2"/>
      <c r="E690" s="9" t="s">
        <v>419</v>
      </c>
      <c r="F690" s="2">
        <v>2</v>
      </c>
      <c r="G690" s="9" t="s">
        <v>90</v>
      </c>
      <c r="H690" s="9" t="s">
        <v>421</v>
      </c>
      <c r="I690" s="2">
        <f>VLOOKUP(B690,'[1]FM MIX OSCAR'!$A:$I,8,0)</f>
        <v>1964700</v>
      </c>
      <c r="J690" s="2"/>
    </row>
    <row r="691" spans="1:10" x14ac:dyDescent="0.3">
      <c r="A691" s="1">
        <v>690</v>
      </c>
      <c r="B691" s="7" t="s">
        <v>457</v>
      </c>
      <c r="C691" s="9" t="s">
        <v>1313</v>
      </c>
      <c r="D691" s="2"/>
      <c r="E691" s="9" t="s">
        <v>373</v>
      </c>
      <c r="F691" s="2">
        <v>1</v>
      </c>
      <c r="G691" s="9" t="s">
        <v>90</v>
      </c>
      <c r="H691" s="9" t="s">
        <v>458</v>
      </c>
      <c r="I691" s="2">
        <f>VLOOKUP(B691,'[1]FM MIX OSCAR'!$A:$I,8,0)</f>
        <v>1142856</v>
      </c>
      <c r="J691" s="2"/>
    </row>
    <row r="692" spans="1:10" x14ac:dyDescent="0.3">
      <c r="A692" s="1">
        <v>691</v>
      </c>
      <c r="B692" s="7" t="s">
        <v>466</v>
      </c>
      <c r="C692" s="9" t="s">
        <v>1313</v>
      </c>
      <c r="D692" s="2"/>
      <c r="E692" s="9" t="s">
        <v>467</v>
      </c>
      <c r="F692" s="2">
        <v>1</v>
      </c>
      <c r="G692" s="9" t="s">
        <v>90</v>
      </c>
      <c r="H692" s="9" t="s">
        <v>468</v>
      </c>
      <c r="I692" s="2">
        <f>VLOOKUP(B692,'[1]FM MIX OSCAR'!$A:$I,8,0)</f>
        <v>49726224</v>
      </c>
      <c r="J692" s="2">
        <f>VLOOKUP(B692,'[1]FM MIX OSCAR'!$A:$I,9,0)</f>
        <v>2</v>
      </c>
    </row>
    <row r="693" spans="1:10" x14ac:dyDescent="0.3">
      <c r="A693" s="1">
        <v>692</v>
      </c>
      <c r="B693" s="7" t="s">
        <v>732</v>
      </c>
      <c r="C693" s="9" t="s">
        <v>1313</v>
      </c>
      <c r="D693" s="2"/>
      <c r="E693" s="9" t="s">
        <v>478</v>
      </c>
      <c r="F693" s="2">
        <v>1</v>
      </c>
      <c r="G693" s="9" t="s">
        <v>90</v>
      </c>
      <c r="H693" s="9" t="s">
        <v>573</v>
      </c>
      <c r="I693" s="2">
        <f>VLOOKUP(B693,'[1]FM MIX OSCAR'!$A:$I,8,0)</f>
        <v>521467344.00000012</v>
      </c>
      <c r="J693" s="2">
        <f>VLOOKUP(B693,'[1]FM MIX OSCAR'!$A:$I,9,0)</f>
        <v>2</v>
      </c>
    </row>
    <row r="694" spans="1:10" x14ac:dyDescent="0.3">
      <c r="A694" s="1">
        <v>693</v>
      </c>
      <c r="B694" s="7" t="s">
        <v>766</v>
      </c>
      <c r="C694" s="9" t="s">
        <v>1313</v>
      </c>
      <c r="D694" s="2"/>
      <c r="E694" s="9" t="s">
        <v>767</v>
      </c>
      <c r="F694" s="2">
        <v>1</v>
      </c>
      <c r="G694" s="9" t="s">
        <v>90</v>
      </c>
      <c r="H694" s="9" t="s">
        <v>768</v>
      </c>
      <c r="I694" s="2">
        <f>VLOOKUP(B694,'[1]FM MIX OSCAR'!$A:$I,8,0)</f>
        <v>3864132</v>
      </c>
      <c r="J694" s="2">
        <f>VLOOKUP(B694,'[1]FM MIX OSCAR'!$A:$I,9,0)</f>
        <v>22</v>
      </c>
    </row>
    <row r="695" spans="1:10" x14ac:dyDescent="0.3">
      <c r="A695" s="1">
        <v>694</v>
      </c>
      <c r="B695" s="7" t="s">
        <v>787</v>
      </c>
      <c r="C695" s="9" t="s">
        <v>1313</v>
      </c>
      <c r="D695" s="2"/>
      <c r="E695" s="9" t="s">
        <v>46</v>
      </c>
      <c r="F695" s="2">
        <v>1</v>
      </c>
      <c r="G695" s="9" t="s">
        <v>90</v>
      </c>
      <c r="H695" s="9" t="s">
        <v>788</v>
      </c>
      <c r="I695" s="2">
        <f>VLOOKUP(B695,'[1]FM MIX OSCAR'!$A:$I,8,0)</f>
        <v>16242408</v>
      </c>
      <c r="J695" s="2">
        <f>VLOOKUP(B695,'[1]FM MIX OSCAR'!$A:$I,9,0)</f>
        <v>29</v>
      </c>
    </row>
    <row r="696" spans="1:10" x14ac:dyDescent="0.3">
      <c r="A696" s="1">
        <v>695</v>
      </c>
      <c r="B696" s="7" t="s">
        <v>776</v>
      </c>
      <c r="C696" s="9" t="s">
        <v>1313</v>
      </c>
      <c r="D696" s="2"/>
      <c r="E696" s="9" t="s">
        <v>777</v>
      </c>
      <c r="F696" s="2">
        <v>1</v>
      </c>
      <c r="G696" s="9" t="s">
        <v>90</v>
      </c>
      <c r="H696" s="9" t="s">
        <v>778</v>
      </c>
      <c r="I696" s="2">
        <f>VLOOKUP(B696,'[1]FM MIX OSCAR'!$A:$I,8,0)</f>
        <v>31140828</v>
      </c>
      <c r="J696" s="2">
        <f>VLOOKUP(B696,'[1]FM MIX OSCAR'!$A:$I,9,0)</f>
        <v>58</v>
      </c>
    </row>
    <row r="697" spans="1:10" x14ac:dyDescent="0.3">
      <c r="A697" s="1">
        <v>696</v>
      </c>
      <c r="B697" s="7" t="s">
        <v>800</v>
      </c>
      <c r="C697" s="9" t="s">
        <v>1313</v>
      </c>
      <c r="D697" s="2"/>
      <c r="E697" s="9" t="s">
        <v>41</v>
      </c>
      <c r="F697" s="2">
        <v>1</v>
      </c>
      <c r="G697" s="9" t="s">
        <v>90</v>
      </c>
      <c r="H697" s="9" t="s">
        <v>41</v>
      </c>
      <c r="I697" s="2">
        <f>VLOOKUP(B697,'[1]FM MIX OSCAR'!$A:$I,8,0)</f>
        <v>5252076</v>
      </c>
      <c r="J697" s="2">
        <f>VLOOKUP(B697,'[1]FM MIX OSCAR'!$A:$I,9,0)</f>
        <v>3</v>
      </c>
    </row>
    <row r="698" spans="1:10" x14ac:dyDescent="0.3">
      <c r="A698" s="1">
        <v>697</v>
      </c>
      <c r="B698" s="7" t="s">
        <v>773</v>
      </c>
      <c r="C698" s="9" t="s">
        <v>1313</v>
      </c>
      <c r="D698" s="2"/>
      <c r="E698" s="9" t="s">
        <v>774</v>
      </c>
      <c r="F698" s="2">
        <v>1</v>
      </c>
      <c r="G698" s="9" t="s">
        <v>90</v>
      </c>
      <c r="H698" s="9" t="s">
        <v>775</v>
      </c>
      <c r="I698" s="2">
        <f>VLOOKUP(B698,'[1]FM MIX OSCAR'!$A:$I,8,0)</f>
        <v>7107552.0000000009</v>
      </c>
      <c r="J698" s="2">
        <f>VLOOKUP(B698,'[1]FM MIX OSCAR'!$A:$I,9,0)</f>
        <v>1</v>
      </c>
    </row>
    <row r="699" spans="1:10" x14ac:dyDescent="0.3">
      <c r="A699" s="1">
        <v>698</v>
      </c>
      <c r="B699" s="7" t="s">
        <v>572</v>
      </c>
      <c r="C699" s="9" t="s">
        <v>1313</v>
      </c>
      <c r="D699" s="2"/>
      <c r="E699" s="9" t="s">
        <v>478</v>
      </c>
      <c r="F699" s="2">
        <v>1</v>
      </c>
      <c r="G699" s="9" t="s">
        <v>90</v>
      </c>
      <c r="H699" s="9" t="s">
        <v>573</v>
      </c>
      <c r="I699" s="2">
        <f>VLOOKUP(B699,'[1]FM MIX OSCAR'!$A:$I,8,0)</f>
        <v>546671448</v>
      </c>
      <c r="J699" s="2"/>
    </row>
    <row r="700" spans="1:10" x14ac:dyDescent="0.3">
      <c r="A700" s="1">
        <v>699</v>
      </c>
      <c r="B700" s="7" t="s">
        <v>779</v>
      </c>
      <c r="C700" s="9" t="s">
        <v>1313</v>
      </c>
      <c r="D700" s="2"/>
      <c r="E700" s="9" t="s">
        <v>780</v>
      </c>
      <c r="F700" s="2">
        <v>6</v>
      </c>
      <c r="G700" s="9" t="s">
        <v>781</v>
      </c>
      <c r="H700" s="9" t="s">
        <v>782</v>
      </c>
      <c r="I700" s="2">
        <f>VLOOKUP(B700,'[1]FM MIX OSCAR'!$A:$I,8,0)</f>
        <v>2997000</v>
      </c>
      <c r="J700" s="2">
        <f>VLOOKUP(B700,'[1]FM MIX OSCAR'!$A:$I,9,0)</f>
        <v>13</v>
      </c>
    </row>
    <row r="701" spans="1:10" x14ac:dyDescent="0.3">
      <c r="A701" s="1">
        <v>700</v>
      </c>
      <c r="B701" s="7" t="s">
        <v>418</v>
      </c>
      <c r="C701" s="9" t="s">
        <v>1313</v>
      </c>
      <c r="D701" s="2"/>
      <c r="E701" s="9" t="s">
        <v>48</v>
      </c>
      <c r="F701" s="2">
        <v>1</v>
      </c>
      <c r="G701" s="9" t="s">
        <v>90</v>
      </c>
      <c r="H701" s="9" t="s">
        <v>346</v>
      </c>
      <c r="I701" s="2">
        <f>VLOOKUP(B701,'[1]FM MIX OSCAR'!$A:$I,8,0)</f>
        <v>8065260.0000000009</v>
      </c>
      <c r="J701" s="2">
        <f>VLOOKUP(B701,'[1]FM MIX OSCAR'!$A:$I,9,0)</f>
        <v>13</v>
      </c>
    </row>
    <row r="702" spans="1:10" x14ac:dyDescent="0.3">
      <c r="A702" s="1">
        <v>701</v>
      </c>
      <c r="B702" s="7" t="s">
        <v>296</v>
      </c>
      <c r="C702" s="9" t="s">
        <v>1313</v>
      </c>
      <c r="D702" s="2"/>
      <c r="E702" s="9" t="s">
        <v>297</v>
      </c>
      <c r="F702" s="2">
        <v>1</v>
      </c>
      <c r="G702" s="9" t="s">
        <v>63</v>
      </c>
      <c r="H702" s="9" t="s">
        <v>298</v>
      </c>
      <c r="I702" s="2">
        <f>VLOOKUP(B702,'[1]FM MIX OSCAR'!$A:$I,8,0)</f>
        <v>1180152</v>
      </c>
      <c r="J702" s="2"/>
    </row>
    <row r="703" spans="1:10" x14ac:dyDescent="0.3">
      <c r="A703" s="1">
        <v>702</v>
      </c>
      <c r="B703" s="7" t="s">
        <v>303</v>
      </c>
      <c r="C703" s="9" t="s">
        <v>1313</v>
      </c>
      <c r="D703" s="2"/>
      <c r="E703" s="9" t="s">
        <v>304</v>
      </c>
      <c r="F703" s="2">
        <v>1</v>
      </c>
      <c r="G703" s="9" t="s">
        <v>69</v>
      </c>
      <c r="H703" s="9" t="s">
        <v>177</v>
      </c>
      <c r="I703" s="2">
        <f>VLOOKUP(B703,'[1]FM MIX OSCAR'!$A:$I,8,0)</f>
        <v>3027636</v>
      </c>
      <c r="J703" s="2"/>
    </row>
    <row r="704" spans="1:10" x14ac:dyDescent="0.3">
      <c r="A704" s="1">
        <v>703</v>
      </c>
      <c r="B704" s="7" t="s">
        <v>345</v>
      </c>
      <c r="C704" s="9" t="s">
        <v>1313</v>
      </c>
      <c r="D704" s="2"/>
      <c r="E704" s="9" t="s">
        <v>48</v>
      </c>
      <c r="F704" s="2">
        <v>1</v>
      </c>
      <c r="G704" s="9" t="s">
        <v>90</v>
      </c>
      <c r="H704" s="9" t="s">
        <v>346</v>
      </c>
      <c r="I704" s="2">
        <f>VLOOKUP(B704,'[1]FM MIX OSCAR'!$A:$I,8,0)</f>
        <v>4804524</v>
      </c>
      <c r="J704" s="2">
        <f>VLOOKUP(B704,'[1]FM MIX OSCAR'!$A:$I,9,0)</f>
        <v>7</v>
      </c>
    </row>
    <row r="705" spans="1:10" x14ac:dyDescent="0.3">
      <c r="A705" s="1">
        <v>704</v>
      </c>
      <c r="B705" s="7" t="s">
        <v>347</v>
      </c>
      <c r="C705" s="9" t="s">
        <v>1313</v>
      </c>
      <c r="D705" s="2"/>
      <c r="E705" s="9" t="s">
        <v>348</v>
      </c>
      <c r="F705" s="2">
        <v>1</v>
      </c>
      <c r="G705" s="9" t="s">
        <v>90</v>
      </c>
      <c r="H705" s="9" t="s">
        <v>349</v>
      </c>
      <c r="I705" s="2">
        <f>VLOOKUP(B705,'[1]FM MIX OSCAR'!$A:$I,8,0)</f>
        <v>155844</v>
      </c>
      <c r="J705" s="2">
        <f>VLOOKUP(B705,'[1]FM MIX OSCAR'!$A:$I,9,0)</f>
        <v>4</v>
      </c>
    </row>
    <row r="706" spans="1:10" x14ac:dyDescent="0.3">
      <c r="A706" s="1">
        <v>705</v>
      </c>
      <c r="B706" s="7" t="s">
        <v>803</v>
      </c>
      <c r="C706" s="9" t="s">
        <v>1313</v>
      </c>
      <c r="D706" s="2"/>
      <c r="E706" s="9" t="s">
        <v>804</v>
      </c>
      <c r="F706" s="2">
        <v>1</v>
      </c>
      <c r="G706" s="9" t="s">
        <v>90</v>
      </c>
      <c r="H706" s="9" t="s">
        <v>97</v>
      </c>
      <c r="I706" s="2">
        <f>VLOOKUP(B706,'[1]FM MIX OSCAR'!$A:$I,8,0)</f>
        <v>788544</v>
      </c>
      <c r="J706" s="2">
        <f>VLOOKUP(B706,'[1]FM MIX OSCAR'!$A:$I,9,0)</f>
        <v>1</v>
      </c>
    </row>
    <row r="707" spans="1:10" x14ac:dyDescent="0.3">
      <c r="A707" s="1">
        <v>706</v>
      </c>
      <c r="B707" s="7" t="s">
        <v>332</v>
      </c>
      <c r="C707" s="9" t="s">
        <v>1313</v>
      </c>
      <c r="D707" s="2"/>
      <c r="E707" s="9" t="s">
        <v>333</v>
      </c>
      <c r="F707" s="2">
        <v>1</v>
      </c>
      <c r="G707" s="9" t="s">
        <v>90</v>
      </c>
      <c r="H707" s="9" t="s">
        <v>334</v>
      </c>
      <c r="I707" s="2">
        <f>VLOOKUP(B707,'[1]FM MIX OSCAR'!$A:$I,8,0)</f>
        <v>580752</v>
      </c>
      <c r="J707" s="2"/>
    </row>
    <row r="708" spans="1:10" x14ac:dyDescent="0.3">
      <c r="A708" s="1">
        <v>707</v>
      </c>
      <c r="B708" s="7" t="s">
        <v>323</v>
      </c>
      <c r="C708" s="9" t="s">
        <v>1313</v>
      </c>
      <c r="D708" s="2"/>
      <c r="E708" s="9" t="s">
        <v>324</v>
      </c>
      <c r="F708" s="2">
        <v>1</v>
      </c>
      <c r="G708" s="9" t="s">
        <v>84</v>
      </c>
      <c r="H708" s="9" t="s">
        <v>83</v>
      </c>
      <c r="I708" s="2">
        <f>VLOOKUP(B708,'[1]FM MIX OSCAR'!$A:$I,8,0)</f>
        <v>359640</v>
      </c>
      <c r="J708" s="2">
        <f>VLOOKUP(B708,'[1]FM MIX OSCAR'!$A:$I,9,0)</f>
        <v>125</v>
      </c>
    </row>
    <row r="709" spans="1:10" x14ac:dyDescent="0.3">
      <c r="A709" s="1">
        <v>708</v>
      </c>
      <c r="B709" s="7" t="s">
        <v>327</v>
      </c>
      <c r="C709" s="9" t="s">
        <v>1313</v>
      </c>
      <c r="D709" s="2"/>
      <c r="E709" s="9" t="s">
        <v>328</v>
      </c>
      <c r="F709" s="2">
        <v>1</v>
      </c>
      <c r="G709" s="9" t="s">
        <v>90</v>
      </c>
      <c r="H709" s="9" t="s">
        <v>329</v>
      </c>
      <c r="I709" s="2">
        <f>VLOOKUP(B709,'[1]FM MIX OSCAR'!$A:$I,8,0)</f>
        <v>976356.00000000012</v>
      </c>
      <c r="J709" s="2">
        <f>VLOOKUP(B709,'[1]FM MIX OSCAR'!$A:$I,9,0)</f>
        <v>14</v>
      </c>
    </row>
    <row r="710" spans="1:10" x14ac:dyDescent="0.3">
      <c r="A710" s="1">
        <v>709</v>
      </c>
      <c r="B710" s="7" t="s">
        <v>415</v>
      </c>
      <c r="C710" s="9" t="s">
        <v>1313</v>
      </c>
      <c r="D710" s="2"/>
      <c r="E710" s="9" t="s">
        <v>416</v>
      </c>
      <c r="F710" s="2">
        <v>1</v>
      </c>
      <c r="G710" s="9" t="s">
        <v>63</v>
      </c>
      <c r="H710" s="9" t="s">
        <v>315</v>
      </c>
      <c r="I710" s="2">
        <f>VLOOKUP(B710,'[1]FM MIX OSCAR'!$A:$I,8,0)</f>
        <v>12904416</v>
      </c>
      <c r="J710" s="2">
        <f>VLOOKUP(B710,'[1]FM MIX OSCAR'!$A:$I,9,0)</f>
        <v>2</v>
      </c>
    </row>
    <row r="711" spans="1:10" x14ac:dyDescent="0.3">
      <c r="A711" s="1">
        <v>710</v>
      </c>
      <c r="B711" s="7" t="s">
        <v>579</v>
      </c>
      <c r="C711" s="9" t="s">
        <v>1313</v>
      </c>
      <c r="D711" s="2"/>
      <c r="E711" s="9" t="s">
        <v>416</v>
      </c>
      <c r="F711" s="2">
        <v>1</v>
      </c>
      <c r="G711" s="9" t="s">
        <v>63</v>
      </c>
      <c r="H711" s="9" t="s">
        <v>78</v>
      </c>
      <c r="I711" s="2">
        <f>VLOOKUP(B711,'[1]FM MIX OSCAR'!$A:$I,8,0)</f>
        <v>5502492</v>
      </c>
      <c r="J711" s="2"/>
    </row>
    <row r="712" spans="1:10" x14ac:dyDescent="0.3">
      <c r="A712" s="1">
        <v>711</v>
      </c>
      <c r="B712" s="7" t="s">
        <v>580</v>
      </c>
      <c r="C712" s="9" t="s">
        <v>1313</v>
      </c>
      <c r="D712" s="2"/>
      <c r="E712" s="9" t="s">
        <v>581</v>
      </c>
      <c r="F712" s="2">
        <v>1</v>
      </c>
      <c r="G712" s="9" t="s">
        <v>63</v>
      </c>
      <c r="H712" s="9" t="s">
        <v>582</v>
      </c>
      <c r="I712" s="2">
        <f>VLOOKUP(B712,'[1]FM MIX OSCAR'!$A:$I,8,0)</f>
        <v>1157508</v>
      </c>
      <c r="J712" s="2"/>
    </row>
    <row r="713" spans="1:10" x14ac:dyDescent="0.3">
      <c r="A713" s="1">
        <v>712</v>
      </c>
      <c r="B713" s="7" t="s">
        <v>313</v>
      </c>
      <c r="C713" s="9" t="s">
        <v>1313</v>
      </c>
      <c r="D713" s="2"/>
      <c r="E713" s="9" t="s">
        <v>314</v>
      </c>
      <c r="F713" s="2">
        <v>1</v>
      </c>
      <c r="G713" s="9" t="s">
        <v>63</v>
      </c>
      <c r="H713" s="9" t="s">
        <v>315</v>
      </c>
      <c r="I713" s="2">
        <f>VLOOKUP(B713,'[1]FM MIX OSCAR'!$A:$I,8,0)</f>
        <v>10851804</v>
      </c>
      <c r="J713" s="2">
        <f>VLOOKUP(B713,'[1]FM MIX OSCAR'!$A:$I,9,0)</f>
        <v>1</v>
      </c>
    </row>
    <row r="714" spans="1:10" x14ac:dyDescent="0.3">
      <c r="A714" s="1">
        <v>713</v>
      </c>
      <c r="B714" s="7" t="s">
        <v>923</v>
      </c>
      <c r="C714" s="9" t="s">
        <v>1313</v>
      </c>
      <c r="D714" s="2"/>
      <c r="E714" s="9" t="s">
        <v>924</v>
      </c>
      <c r="F714" s="2">
        <v>1</v>
      </c>
      <c r="G714" s="9" t="s">
        <v>63</v>
      </c>
      <c r="H714" s="9" t="s">
        <v>925</v>
      </c>
      <c r="I714" s="2">
        <f>VLOOKUP(B714,'[1]FM MIX OSCAR'!$A:$I,8,0)</f>
        <v>5144184</v>
      </c>
      <c r="J714" s="2">
        <f>VLOOKUP(B714,'[1]FM MIX OSCAR'!$A:$I,9,0)</f>
        <v>1</v>
      </c>
    </row>
    <row r="715" spans="1:10" x14ac:dyDescent="0.3">
      <c r="A715" s="1">
        <v>714</v>
      </c>
      <c r="B715" s="7" t="s">
        <v>438</v>
      </c>
      <c r="C715" s="9" t="s">
        <v>1313</v>
      </c>
      <c r="D715" s="2"/>
      <c r="E715" s="9" t="s">
        <v>416</v>
      </c>
      <c r="F715" s="2">
        <v>1</v>
      </c>
      <c r="G715" s="9" t="s">
        <v>63</v>
      </c>
      <c r="H715" s="9" t="s">
        <v>315</v>
      </c>
      <c r="I715" s="2">
        <f>VLOOKUP(B715,'[1]FM MIX OSCAR'!$A:$I,8,0)</f>
        <v>12051936</v>
      </c>
      <c r="J715" s="2">
        <f>VLOOKUP(B715,'[1]FM MIX OSCAR'!$A:$I,9,0)</f>
        <v>1</v>
      </c>
    </row>
    <row r="716" spans="1:10" x14ac:dyDescent="0.3">
      <c r="A716" s="1">
        <v>715</v>
      </c>
      <c r="B716" s="7" t="s">
        <v>316</v>
      </c>
      <c r="C716" s="9" t="s">
        <v>1313</v>
      </c>
      <c r="D716" s="2"/>
      <c r="E716" s="9" t="s">
        <v>317</v>
      </c>
      <c r="F716" s="2">
        <v>1</v>
      </c>
      <c r="G716" s="9" t="s">
        <v>63</v>
      </c>
      <c r="H716" s="9" t="s">
        <v>318</v>
      </c>
      <c r="I716" s="2">
        <f>VLOOKUP(B716,'[1]FM MIX OSCAR'!$A:$I,8,0)</f>
        <v>813852.00000000012</v>
      </c>
      <c r="J716" s="2"/>
    </row>
    <row r="717" spans="1:10" x14ac:dyDescent="0.3">
      <c r="A717" s="1">
        <v>716</v>
      </c>
      <c r="B717" s="7" t="s">
        <v>319</v>
      </c>
      <c r="C717" s="9" t="s">
        <v>1313</v>
      </c>
      <c r="D717" s="2"/>
      <c r="E717" s="9" t="s">
        <v>320</v>
      </c>
      <c r="F717" s="2">
        <v>1</v>
      </c>
      <c r="G717" s="9" t="s">
        <v>69</v>
      </c>
      <c r="H717" s="9" t="s">
        <v>321</v>
      </c>
      <c r="I717" s="2">
        <f>VLOOKUP(B717,'[1]FM MIX OSCAR'!$A:$I,8,0)</f>
        <v>133200</v>
      </c>
      <c r="J717" s="2">
        <f>VLOOKUP(B717,'[1]FM MIX OSCAR'!$A:$I,9,0)</f>
        <v>2</v>
      </c>
    </row>
    <row r="718" spans="1:10" x14ac:dyDescent="0.3">
      <c r="A718" s="1">
        <v>717</v>
      </c>
      <c r="B718" s="7" t="s">
        <v>307</v>
      </c>
      <c r="C718" s="9" t="s">
        <v>1313</v>
      </c>
      <c r="D718" s="2"/>
      <c r="E718" s="9" t="s">
        <v>414</v>
      </c>
      <c r="F718" s="2">
        <v>1</v>
      </c>
      <c r="G718" s="9" t="s">
        <v>69</v>
      </c>
      <c r="H718" s="9" t="s">
        <v>309</v>
      </c>
      <c r="I718" s="2">
        <f>VLOOKUP(B718,'[1]FM MIX OSCAR'!$A:$I,8,0)</f>
        <v>7004988.0000000009</v>
      </c>
      <c r="J718" s="2">
        <f>VLOOKUP(B718,'[1]FM MIX OSCAR'!$A:$I,9,0)</f>
        <v>41</v>
      </c>
    </row>
    <row r="719" spans="1:10" x14ac:dyDescent="0.3">
      <c r="A719" s="1">
        <v>718</v>
      </c>
      <c r="B719" s="7" t="s">
        <v>310</v>
      </c>
      <c r="C719" s="9" t="s">
        <v>1313</v>
      </c>
      <c r="D719" s="2"/>
      <c r="E719" s="9" t="s">
        <v>311</v>
      </c>
      <c r="F719" s="2">
        <v>1</v>
      </c>
      <c r="G719" s="9" t="s">
        <v>69</v>
      </c>
      <c r="H719" s="9" t="s">
        <v>312</v>
      </c>
      <c r="I719" s="2">
        <f>VLOOKUP(B719,'[1]FM MIX OSCAR'!$A:$I,8,0)</f>
        <v>406260.00000000012</v>
      </c>
      <c r="J719" s="2"/>
    </row>
    <row r="720" spans="1:10" x14ac:dyDescent="0.3">
      <c r="A720" s="1">
        <v>719</v>
      </c>
      <c r="B720" s="7" t="s">
        <v>410</v>
      </c>
      <c r="C720" s="9" t="s">
        <v>1313</v>
      </c>
      <c r="D720" s="2"/>
      <c r="E720" s="9" t="s">
        <v>411</v>
      </c>
      <c r="F720" s="2">
        <v>1</v>
      </c>
      <c r="G720" s="9" t="s">
        <v>90</v>
      </c>
      <c r="H720" s="9" t="s">
        <v>412</v>
      </c>
      <c r="I720" s="2">
        <f>VLOOKUP(B720,'[1]FM MIX OSCAR'!$A:$I,8,0)</f>
        <v>636696</v>
      </c>
      <c r="J720" s="2"/>
    </row>
    <row r="721" spans="1:10" x14ac:dyDescent="0.3">
      <c r="A721" s="1">
        <v>720</v>
      </c>
      <c r="B721" s="7" t="s">
        <v>583</v>
      </c>
      <c r="C721" s="9" t="s">
        <v>1313</v>
      </c>
      <c r="D721" s="2"/>
      <c r="E721" s="9" t="s">
        <v>584</v>
      </c>
      <c r="F721" s="2">
        <v>2</v>
      </c>
      <c r="G721" s="9" t="s">
        <v>69</v>
      </c>
      <c r="H721" s="9" t="s">
        <v>585</v>
      </c>
      <c r="I721" s="2">
        <f>VLOOKUP(B721,'[1]FM MIX OSCAR'!$A:$I,8,0)</f>
        <v>57276.000000000007</v>
      </c>
      <c r="J721" s="2"/>
    </row>
    <row r="722" spans="1:10" x14ac:dyDescent="0.3">
      <c r="A722" s="1">
        <v>721</v>
      </c>
      <c r="B722" s="7" t="s">
        <v>926</v>
      </c>
      <c r="C722" s="9" t="s">
        <v>1313</v>
      </c>
      <c r="D722" s="2"/>
      <c r="E722" s="9" t="s">
        <v>927</v>
      </c>
      <c r="F722" s="2">
        <v>1</v>
      </c>
      <c r="G722" s="9" t="s">
        <v>167</v>
      </c>
      <c r="H722" s="9" t="s">
        <v>928</v>
      </c>
      <c r="I722" s="2">
        <f>VLOOKUP(B722,'[1]FM MIX OSCAR'!$A:$I,8,0)</f>
        <v>1846152</v>
      </c>
      <c r="J722" s="2">
        <f>VLOOKUP(B722,'[1]FM MIX OSCAR'!$A:$I,9,0)</f>
        <v>2</v>
      </c>
    </row>
    <row r="723" spans="1:10" x14ac:dyDescent="0.3">
      <c r="A723" s="1">
        <v>722</v>
      </c>
      <c r="B723" s="7" t="s">
        <v>344</v>
      </c>
      <c r="C723" s="9" t="s">
        <v>1313</v>
      </c>
      <c r="D723" s="2"/>
      <c r="E723" s="9" t="s">
        <v>191</v>
      </c>
      <c r="F723" s="2">
        <v>1</v>
      </c>
      <c r="G723" s="9" t="s">
        <v>90</v>
      </c>
      <c r="H723" s="9" t="s">
        <v>94</v>
      </c>
      <c r="I723" s="2">
        <f>VLOOKUP(B723,'[1]FM MIX OSCAR'!$A:$I,8,0)</f>
        <v>40066560</v>
      </c>
      <c r="J723" s="2"/>
    </row>
    <row r="724" spans="1:10" x14ac:dyDescent="0.3">
      <c r="A724" s="1">
        <v>723</v>
      </c>
      <c r="B724" s="7" t="s">
        <v>417</v>
      </c>
      <c r="C724" s="9" t="s">
        <v>1313</v>
      </c>
      <c r="D724" s="2"/>
      <c r="E724" s="9" t="s">
        <v>191</v>
      </c>
      <c r="F724" s="2">
        <v>1</v>
      </c>
      <c r="G724" s="9" t="s">
        <v>90</v>
      </c>
      <c r="H724" s="9" t="s">
        <v>94</v>
      </c>
      <c r="I724" s="2">
        <f>VLOOKUP(B724,'[1]FM MIX OSCAR'!$A:$I,8,0)</f>
        <v>34532100</v>
      </c>
      <c r="J724" s="2">
        <f>VLOOKUP(B724,'[1]FM MIX OSCAR'!$A:$I,9,0)</f>
        <v>2</v>
      </c>
    </row>
    <row r="725" spans="1:10" x14ac:dyDescent="0.3">
      <c r="A725" s="1">
        <v>724</v>
      </c>
      <c r="B725" s="7" t="s">
        <v>439</v>
      </c>
      <c r="C725" s="9" t="s">
        <v>1313</v>
      </c>
      <c r="D725" s="2"/>
      <c r="E725" s="9" t="s">
        <v>191</v>
      </c>
      <c r="F725" s="2">
        <v>1</v>
      </c>
      <c r="G725" s="9" t="s">
        <v>90</v>
      </c>
      <c r="H725" s="9" t="s">
        <v>94</v>
      </c>
      <c r="I725" s="2">
        <f>VLOOKUP(B725,'[1]FM MIX OSCAR'!$A:$I,8,0)</f>
        <v>44081208</v>
      </c>
      <c r="J725" s="2">
        <f>VLOOKUP(B725,'[1]FM MIX OSCAR'!$A:$I,9,0)</f>
        <v>3</v>
      </c>
    </row>
    <row r="726" spans="1:10" x14ac:dyDescent="0.3">
      <c r="A726" s="1">
        <v>725</v>
      </c>
      <c r="B726" s="7" t="s">
        <v>597</v>
      </c>
      <c r="C726" s="9" t="s">
        <v>1313</v>
      </c>
      <c r="D726" s="2"/>
      <c r="E726" s="9" t="s">
        <v>598</v>
      </c>
      <c r="F726" s="2">
        <v>1</v>
      </c>
      <c r="G726" s="9" t="s">
        <v>599</v>
      </c>
      <c r="H726" s="9" t="s">
        <v>600</v>
      </c>
      <c r="I726" s="2">
        <f>VLOOKUP(B726,'[1]FM MIX OSCAR'!$A:$I,8,0)</f>
        <v>249084</v>
      </c>
      <c r="J726" s="2"/>
    </row>
    <row r="727" spans="1:10" x14ac:dyDescent="0.3">
      <c r="A727" s="1">
        <v>726</v>
      </c>
      <c r="B727" s="7" t="s">
        <v>338</v>
      </c>
      <c r="C727" s="9" t="s">
        <v>1313</v>
      </c>
      <c r="D727" s="2"/>
      <c r="E727" s="9" t="s">
        <v>339</v>
      </c>
      <c r="F727" s="2">
        <v>1</v>
      </c>
      <c r="G727" s="9" t="s">
        <v>90</v>
      </c>
      <c r="H727" s="9" t="s">
        <v>340</v>
      </c>
      <c r="I727" s="2">
        <f>VLOOKUP(B727,'[1]FM MIX OSCAR'!$A:$I,8,0)</f>
        <v>3078252</v>
      </c>
      <c r="J727" s="2">
        <f>VLOOKUP(B727,'[1]FM MIX OSCAR'!$A:$I,9,0)</f>
        <v>13</v>
      </c>
    </row>
    <row r="728" spans="1:10" x14ac:dyDescent="0.3">
      <c r="A728" s="1">
        <v>727</v>
      </c>
      <c r="B728" s="7" t="s">
        <v>341</v>
      </c>
      <c r="C728" s="9" t="s">
        <v>1313</v>
      </c>
      <c r="D728" s="2"/>
      <c r="E728" s="9" t="s">
        <v>342</v>
      </c>
      <c r="F728" s="2">
        <v>1</v>
      </c>
      <c r="G728" s="9" t="s">
        <v>90</v>
      </c>
      <c r="H728" s="9" t="s">
        <v>343</v>
      </c>
      <c r="I728" s="2">
        <f>VLOOKUP(B728,'[1]FM MIX OSCAR'!$A:$I,8,0)</f>
        <v>791208</v>
      </c>
      <c r="J728" s="2"/>
    </row>
    <row r="729" spans="1:10" x14ac:dyDescent="0.3">
      <c r="A729" s="1">
        <v>728</v>
      </c>
      <c r="B729" s="7" t="s">
        <v>335</v>
      </c>
      <c r="C729" s="9" t="s">
        <v>1313</v>
      </c>
      <c r="D729" s="2"/>
      <c r="E729" s="9" t="s">
        <v>41</v>
      </c>
      <c r="F729" s="2">
        <v>1</v>
      </c>
      <c r="G729" s="9" t="s">
        <v>90</v>
      </c>
      <c r="H729" s="9" t="s">
        <v>41</v>
      </c>
      <c r="I729" s="2">
        <f>VLOOKUP(B729,'[1]FM MIX OSCAR'!$A:$I,8,0)</f>
        <v>4121208</v>
      </c>
      <c r="J729" s="2">
        <f>VLOOKUP(B729,'[1]FM MIX OSCAR'!$A:$I,9,0)</f>
        <v>13</v>
      </c>
    </row>
    <row r="730" spans="1:10" x14ac:dyDescent="0.3">
      <c r="A730" s="1">
        <v>729</v>
      </c>
      <c r="B730" s="7" t="s">
        <v>434</v>
      </c>
      <c r="C730" s="9" t="s">
        <v>1313</v>
      </c>
      <c r="D730" s="2"/>
      <c r="E730" s="9" t="s">
        <v>435</v>
      </c>
      <c r="F730" s="2">
        <v>1</v>
      </c>
      <c r="G730" s="9" t="s">
        <v>90</v>
      </c>
      <c r="H730" s="9" t="s">
        <v>436</v>
      </c>
      <c r="I730" s="2">
        <f>VLOOKUP(B730,'[1]FM MIX OSCAR'!$A:$I,8,0)</f>
        <v>390276</v>
      </c>
      <c r="J730" s="2"/>
    </row>
    <row r="731" spans="1:10" x14ac:dyDescent="0.3">
      <c r="A731" s="1">
        <v>730</v>
      </c>
      <c r="B731" s="7" t="s">
        <v>391</v>
      </c>
      <c r="C731" s="9" t="s">
        <v>1313</v>
      </c>
      <c r="D731" s="2"/>
      <c r="E731" s="9" t="s">
        <v>253</v>
      </c>
      <c r="F731" s="2">
        <v>2</v>
      </c>
      <c r="G731" s="9" t="s">
        <v>84</v>
      </c>
      <c r="H731" s="9" t="s">
        <v>392</v>
      </c>
      <c r="I731" s="2">
        <f>VLOOKUP(B731,'[1]FM MIX OSCAR'!$A:$I,8,0)</f>
        <v>33300</v>
      </c>
      <c r="J731" s="2">
        <f>VLOOKUP(B731,'[1]FM MIX OSCAR'!$A:$I,9,0)</f>
        <v>4</v>
      </c>
    </row>
    <row r="732" spans="1:10" x14ac:dyDescent="0.3">
      <c r="A732" s="1">
        <v>731</v>
      </c>
      <c r="B732" s="7" t="s">
        <v>330</v>
      </c>
      <c r="C732" s="9" t="s">
        <v>1313</v>
      </c>
      <c r="D732" s="2"/>
      <c r="E732" s="9" t="s">
        <v>331</v>
      </c>
      <c r="F732" s="2">
        <v>1</v>
      </c>
      <c r="G732" s="9" t="s">
        <v>90</v>
      </c>
      <c r="H732" s="9" t="s">
        <v>329</v>
      </c>
      <c r="I732" s="2">
        <f>VLOOKUP(B732,'[1]FM MIX OSCAR'!$A:$I,8,0)</f>
        <v>1149516</v>
      </c>
      <c r="J732" s="2">
        <f>VLOOKUP(B732,'[1]FM MIX OSCAR'!$A:$I,9,0)</f>
        <v>3</v>
      </c>
    </row>
    <row r="733" spans="1:10" x14ac:dyDescent="0.3">
      <c r="A733" s="1">
        <v>732</v>
      </c>
      <c r="B733" s="7" t="s">
        <v>382</v>
      </c>
      <c r="C733" s="9" t="s">
        <v>1313</v>
      </c>
      <c r="D733" s="2"/>
      <c r="E733" s="9" t="s">
        <v>383</v>
      </c>
      <c r="F733" s="2">
        <v>2</v>
      </c>
      <c r="G733" s="9" t="s">
        <v>90</v>
      </c>
      <c r="H733" s="9" t="s">
        <v>384</v>
      </c>
      <c r="I733" s="2">
        <f>VLOOKUP(B733,'[1]FM MIX OSCAR'!$A:$I,8,0)</f>
        <v>7206120.0000000009</v>
      </c>
      <c r="J733" s="2">
        <f>VLOOKUP(B733,'[1]FM MIX OSCAR'!$A:$I,9,0)</f>
        <v>17</v>
      </c>
    </row>
    <row r="734" spans="1:10" x14ac:dyDescent="0.3">
      <c r="A734" s="1">
        <v>733</v>
      </c>
      <c r="B734" s="7" t="s">
        <v>422</v>
      </c>
      <c r="C734" s="9" t="s">
        <v>1313</v>
      </c>
      <c r="D734" s="2"/>
      <c r="E734" s="9" t="s">
        <v>375</v>
      </c>
      <c r="F734" s="2">
        <v>2</v>
      </c>
      <c r="G734" s="9" t="s">
        <v>90</v>
      </c>
      <c r="H734" s="9" t="s">
        <v>235</v>
      </c>
      <c r="I734" s="2">
        <f>VLOOKUP(B734,'[1]FM MIX OSCAR'!$A:$I,8,0)</f>
        <v>25715592</v>
      </c>
      <c r="J734" s="2"/>
    </row>
    <row r="735" spans="1:10" x14ac:dyDescent="0.3">
      <c r="A735" s="1">
        <v>734</v>
      </c>
      <c r="B735" s="7" t="s">
        <v>594</v>
      </c>
      <c r="C735" s="9" t="s">
        <v>1313</v>
      </c>
      <c r="D735" s="2"/>
      <c r="E735" s="9" t="s">
        <v>595</v>
      </c>
      <c r="F735" s="2">
        <v>1</v>
      </c>
      <c r="G735" s="9" t="s">
        <v>90</v>
      </c>
      <c r="H735" s="9" t="s">
        <v>596</v>
      </c>
      <c r="I735" s="2">
        <f>VLOOKUP(B735,'[1]FM MIX OSCAR'!$A:$I,8,0)</f>
        <v>15035616</v>
      </c>
      <c r="J735" s="2"/>
    </row>
    <row r="736" spans="1:10" x14ac:dyDescent="0.3">
      <c r="A736" s="1">
        <v>735</v>
      </c>
      <c r="B736" s="7" t="s">
        <v>801</v>
      </c>
      <c r="C736" s="9" t="s">
        <v>1313</v>
      </c>
      <c r="D736" s="2"/>
      <c r="E736" s="9" t="s">
        <v>802</v>
      </c>
      <c r="F736" s="2">
        <v>1</v>
      </c>
      <c r="G736" s="9" t="s">
        <v>90</v>
      </c>
      <c r="H736" s="9" t="s">
        <v>596</v>
      </c>
      <c r="I736" s="2">
        <f>VLOOKUP(B736,'[1]FM MIX OSCAR'!$A:$I,8,0)</f>
        <v>15243408</v>
      </c>
      <c r="J736" s="2"/>
    </row>
    <row r="737" spans="1:10" x14ac:dyDescent="0.3">
      <c r="A737" s="1">
        <v>736</v>
      </c>
      <c r="B737" s="7" t="s">
        <v>453</v>
      </c>
      <c r="C737" s="9" t="s">
        <v>1313</v>
      </c>
      <c r="D737" s="2"/>
      <c r="E737" s="9" t="s">
        <v>253</v>
      </c>
      <c r="F737" s="2">
        <v>1</v>
      </c>
      <c r="G737" s="9" t="s">
        <v>84</v>
      </c>
      <c r="H737" s="9" t="s">
        <v>454</v>
      </c>
      <c r="I737" s="2">
        <f>VLOOKUP(B737,'[1]FM MIX OSCAR'!$A:$I,8,0)</f>
        <v>59940.000000000007</v>
      </c>
      <c r="J737" s="2">
        <f>VLOOKUP(B737,'[1]FM MIX OSCAR'!$A:$I,9,0)</f>
        <v>50</v>
      </c>
    </row>
    <row r="738" spans="1:10" x14ac:dyDescent="0.3">
      <c r="A738" s="1">
        <v>737</v>
      </c>
      <c r="B738" s="7" t="s">
        <v>463</v>
      </c>
      <c r="C738" s="9" t="s">
        <v>1313</v>
      </c>
      <c r="D738" s="2"/>
      <c r="E738" s="9" t="s">
        <v>253</v>
      </c>
      <c r="F738" s="2">
        <v>2</v>
      </c>
      <c r="G738" s="9" t="s">
        <v>84</v>
      </c>
      <c r="H738" s="9" t="s">
        <v>464</v>
      </c>
      <c r="I738" s="2">
        <f>VLOOKUP(B738,'[1]FM MIX OSCAR'!$A:$I,8,0)</f>
        <v>2664</v>
      </c>
      <c r="J738" s="2">
        <f>VLOOKUP(B738,'[1]FM MIX OSCAR'!$A:$I,9,0)</f>
        <v>202</v>
      </c>
    </row>
    <row r="739" spans="1:10" x14ac:dyDescent="0.3">
      <c r="A739" s="1">
        <v>738</v>
      </c>
      <c r="B739" s="7" t="s">
        <v>512</v>
      </c>
      <c r="C739" s="9" t="s">
        <v>1313</v>
      </c>
      <c r="D739" s="2"/>
      <c r="E739" s="9" t="s">
        <v>253</v>
      </c>
      <c r="F739" s="2">
        <v>2</v>
      </c>
      <c r="G739" s="9" t="s">
        <v>84</v>
      </c>
      <c r="H739" s="9" t="s">
        <v>253</v>
      </c>
      <c r="I739" s="2">
        <f>VLOOKUP(B739,'[1]FM MIX OSCAR'!$A:$I,8,0)</f>
        <v>31968</v>
      </c>
      <c r="J739" s="2"/>
    </row>
    <row r="740" spans="1:10" x14ac:dyDescent="0.3">
      <c r="A740" s="1">
        <v>739</v>
      </c>
      <c r="B740" s="7" t="s">
        <v>511</v>
      </c>
      <c r="C740" s="9" t="s">
        <v>1313</v>
      </c>
      <c r="D740" s="2"/>
      <c r="E740" s="9" t="s">
        <v>253</v>
      </c>
      <c r="F740" s="2">
        <v>2</v>
      </c>
      <c r="G740" s="9" t="s">
        <v>84</v>
      </c>
      <c r="H740" s="9" t="s">
        <v>253</v>
      </c>
      <c r="I740" s="2">
        <f>VLOOKUP(B740,'[1]FM MIX OSCAR'!$A:$I,8,0)</f>
        <v>51948.000000000007</v>
      </c>
      <c r="J740" s="2">
        <f>VLOOKUP(B740,'[1]FM MIX OSCAR'!$A:$I,9,0)</f>
        <v>30</v>
      </c>
    </row>
    <row r="741" spans="1:10" x14ac:dyDescent="0.3">
      <c r="A741" s="1">
        <v>740</v>
      </c>
      <c r="B741" s="7" t="s">
        <v>510</v>
      </c>
      <c r="C741" s="9" t="s">
        <v>1313</v>
      </c>
      <c r="D741" s="2"/>
      <c r="E741" s="9" t="s">
        <v>253</v>
      </c>
      <c r="F741" s="2">
        <v>2</v>
      </c>
      <c r="G741" s="9" t="s">
        <v>84</v>
      </c>
      <c r="H741" s="9" t="s">
        <v>253</v>
      </c>
      <c r="I741" s="2">
        <f>VLOOKUP(B741,'[1]FM MIX OSCAR'!$A:$I,8,0)</f>
        <v>278388</v>
      </c>
      <c r="J741" s="2">
        <f>VLOOKUP(B741,'[1]FM MIX OSCAR'!$A:$I,9,0)</f>
        <v>15</v>
      </c>
    </row>
    <row r="742" spans="1:10" x14ac:dyDescent="0.3">
      <c r="A742" s="1">
        <v>741</v>
      </c>
      <c r="B742" s="7" t="s">
        <v>508</v>
      </c>
      <c r="C742" s="9" t="s">
        <v>1313</v>
      </c>
      <c r="D742" s="2"/>
      <c r="E742" s="9" t="s">
        <v>253</v>
      </c>
      <c r="F742" s="2">
        <v>2</v>
      </c>
      <c r="G742" s="9" t="s">
        <v>84</v>
      </c>
      <c r="H742" s="9" t="s">
        <v>509</v>
      </c>
      <c r="I742" s="2">
        <f>VLOOKUP(B742,'[1]FM MIX OSCAR'!$A:$I,8,0)</f>
        <v>314352</v>
      </c>
      <c r="J742" s="2">
        <f>VLOOKUP(B742,'[1]FM MIX OSCAR'!$A:$I,9,0)</f>
        <v>5</v>
      </c>
    </row>
    <row r="743" spans="1:10" x14ac:dyDescent="0.3">
      <c r="A743" s="1">
        <v>742</v>
      </c>
      <c r="B743" s="7" t="s">
        <v>658</v>
      </c>
      <c r="C743" s="9" t="s">
        <v>1313</v>
      </c>
      <c r="D743" s="2"/>
      <c r="E743" s="9" t="s">
        <v>659</v>
      </c>
      <c r="F743" s="2">
        <v>1</v>
      </c>
      <c r="G743" s="9" t="s">
        <v>69</v>
      </c>
      <c r="H743" s="9" t="s">
        <v>660</v>
      </c>
      <c r="I743" s="2">
        <f>VLOOKUP(B743,'[1]FM MIX OSCAR'!$A:$I,8,0)</f>
        <v>46620</v>
      </c>
      <c r="J743" s="2"/>
    </row>
    <row r="744" spans="1:10" x14ac:dyDescent="0.3">
      <c r="A744" s="1">
        <v>743</v>
      </c>
      <c r="B744" s="7" t="s">
        <v>480</v>
      </c>
      <c r="C744" s="9" t="s">
        <v>1313</v>
      </c>
      <c r="D744" s="2"/>
      <c r="E744" s="9" t="s">
        <v>1</v>
      </c>
      <c r="F744" s="2">
        <v>1</v>
      </c>
      <c r="G744" s="9" t="s">
        <v>69</v>
      </c>
      <c r="H744" s="9" t="s">
        <v>481</v>
      </c>
      <c r="I744" s="2">
        <f>VLOOKUP(B744,'[1]FM MIX OSCAR'!$A:$I,8,0)</f>
        <v>635364</v>
      </c>
      <c r="J744" s="2">
        <f>VLOOKUP(B744,'[1]FM MIX OSCAR'!$A:$I,9,0)</f>
        <v>1</v>
      </c>
    </row>
    <row r="745" spans="1:10" x14ac:dyDescent="0.3">
      <c r="A745" s="1">
        <v>744</v>
      </c>
      <c r="B745" s="7" t="s">
        <v>601</v>
      </c>
      <c r="C745" s="9" t="s">
        <v>1313</v>
      </c>
      <c r="D745" s="2"/>
      <c r="E745" s="9" t="s">
        <v>602</v>
      </c>
      <c r="F745" s="2">
        <v>1</v>
      </c>
      <c r="G745" s="9" t="s">
        <v>90</v>
      </c>
      <c r="H745" s="9" t="s">
        <v>97</v>
      </c>
      <c r="I745" s="2">
        <f>VLOOKUP(B745,'[1]FM MIX OSCAR'!$A:$I,8,0)</f>
        <v>366300</v>
      </c>
      <c r="J745" s="2">
        <f>VLOOKUP(B745,'[1]FM MIX OSCAR'!$A:$I,9,0)</f>
        <v>36</v>
      </c>
    </row>
    <row r="746" spans="1:10" x14ac:dyDescent="0.3">
      <c r="A746" s="1">
        <v>745</v>
      </c>
      <c r="B746" s="7" t="s">
        <v>539</v>
      </c>
      <c r="C746" s="9" t="s">
        <v>1313</v>
      </c>
      <c r="D746" s="2"/>
      <c r="E746" s="9" t="s">
        <v>253</v>
      </c>
      <c r="F746" s="2">
        <v>9</v>
      </c>
      <c r="G746" s="9" t="s">
        <v>84</v>
      </c>
      <c r="H746" s="9" t="s">
        <v>540</v>
      </c>
      <c r="I746" s="2">
        <f>VLOOKUP(B746,'[1]FM MIX OSCAR'!$A:$I,8,0)</f>
        <v>26640</v>
      </c>
      <c r="J746" s="2"/>
    </row>
    <row r="747" spans="1:10" x14ac:dyDescent="0.3">
      <c r="A747" s="1">
        <v>746</v>
      </c>
      <c r="B747" s="7" t="s">
        <v>549</v>
      </c>
      <c r="C747" s="9" t="s">
        <v>1313</v>
      </c>
      <c r="D747" s="2"/>
      <c r="E747" s="9" t="s">
        <v>547</v>
      </c>
      <c r="F747" s="2">
        <v>1</v>
      </c>
      <c r="G747" s="9" t="s">
        <v>90</v>
      </c>
      <c r="H747" s="9" t="s">
        <v>548</v>
      </c>
      <c r="I747" s="2">
        <f>VLOOKUP(B747,'[1]FM MIX OSCAR'!$A:$I,8,0)</f>
        <v>1029636</v>
      </c>
      <c r="J747" s="2">
        <f>VLOOKUP(B747,'[1]FM MIX OSCAR'!$A:$I,9,0)</f>
        <v>23</v>
      </c>
    </row>
    <row r="748" spans="1:10" x14ac:dyDescent="0.3">
      <c r="A748" s="1">
        <v>747</v>
      </c>
      <c r="B748" s="7" t="s">
        <v>546</v>
      </c>
      <c r="C748" s="9" t="s">
        <v>1313</v>
      </c>
      <c r="D748" s="2"/>
      <c r="E748" s="9" t="s">
        <v>547</v>
      </c>
      <c r="F748" s="2">
        <v>1</v>
      </c>
      <c r="G748" s="9" t="s">
        <v>90</v>
      </c>
      <c r="H748" s="9" t="s">
        <v>548</v>
      </c>
      <c r="I748" s="2">
        <f>VLOOKUP(B748,'[1]FM MIX OSCAR'!$A:$I,8,0)</f>
        <v>1076256</v>
      </c>
      <c r="J748" s="2">
        <f>VLOOKUP(B748,'[1]FM MIX OSCAR'!$A:$I,9,0)</f>
        <v>11</v>
      </c>
    </row>
    <row r="749" spans="1:10" x14ac:dyDescent="0.3">
      <c r="A749" s="1">
        <v>748</v>
      </c>
      <c r="B749" s="7" t="s">
        <v>910</v>
      </c>
      <c r="C749" s="9" t="s">
        <v>1313</v>
      </c>
      <c r="D749" s="2"/>
      <c r="E749" s="9" t="s">
        <v>911</v>
      </c>
      <c r="F749" s="2">
        <v>1</v>
      </c>
      <c r="G749" s="9" t="s">
        <v>90</v>
      </c>
      <c r="H749" s="9" t="s">
        <v>912</v>
      </c>
      <c r="I749" s="2">
        <f>VLOOKUP(B749,'[1]FM MIX OSCAR'!$A:$I,8,0)</f>
        <v>289044</v>
      </c>
      <c r="J749" s="2">
        <f>VLOOKUP(B749,'[1]FM MIX OSCAR'!$A:$I,9,0)</f>
        <v>10</v>
      </c>
    </row>
    <row r="750" spans="1:10" x14ac:dyDescent="0.3">
      <c r="A750" s="1">
        <v>749</v>
      </c>
      <c r="B750" s="7" t="s">
        <v>670</v>
      </c>
      <c r="C750" s="9" t="s">
        <v>1313</v>
      </c>
      <c r="D750" s="2"/>
      <c r="E750" s="9" t="s">
        <v>671</v>
      </c>
      <c r="F750" s="2">
        <v>1</v>
      </c>
      <c r="G750" s="9" t="s">
        <v>90</v>
      </c>
      <c r="H750" s="9" t="s">
        <v>272</v>
      </c>
      <c r="I750" s="2">
        <f>VLOOKUP(B750,'[1]FM MIX OSCAR'!$A:$I,8,0)</f>
        <v>114552</v>
      </c>
      <c r="J750" s="2">
        <f>VLOOKUP(B750,'[1]FM MIX OSCAR'!$A:$I,9,0)</f>
        <v>3</v>
      </c>
    </row>
    <row r="751" spans="1:10" x14ac:dyDescent="0.3">
      <c r="A751" s="1">
        <v>750</v>
      </c>
      <c r="B751" s="7" t="s">
        <v>550</v>
      </c>
      <c r="C751" s="9" t="s">
        <v>1313</v>
      </c>
      <c r="D751" s="2"/>
      <c r="E751" s="9" t="s">
        <v>551</v>
      </c>
      <c r="F751" s="2">
        <v>4</v>
      </c>
      <c r="G751" s="9" t="s">
        <v>151</v>
      </c>
      <c r="H751" s="9" t="s">
        <v>152</v>
      </c>
      <c r="I751" s="2">
        <f>VLOOKUP(B751,'[1]FM MIX OSCAR'!$A:$I,8,0)</f>
        <v>2396268</v>
      </c>
      <c r="J751" s="2"/>
    </row>
    <row r="752" spans="1:10" x14ac:dyDescent="0.3">
      <c r="A752" s="1">
        <v>751</v>
      </c>
      <c r="B752" s="7" t="s">
        <v>474</v>
      </c>
      <c r="C752" s="9" t="s">
        <v>1313</v>
      </c>
      <c r="D752" s="2"/>
      <c r="E752" s="9" t="s">
        <v>475</v>
      </c>
      <c r="F752" s="2">
        <v>2</v>
      </c>
      <c r="G752" s="9" t="s">
        <v>476</v>
      </c>
      <c r="H752" s="9" t="s">
        <v>477</v>
      </c>
      <c r="I752" s="2">
        <f>VLOOKUP(B752,'[1]FM MIX OSCAR'!$A:$I,8,0)</f>
        <v>319680</v>
      </c>
      <c r="J752" s="2"/>
    </row>
    <row r="753" spans="1:10" x14ac:dyDescent="0.3">
      <c r="A753" s="1">
        <v>752</v>
      </c>
      <c r="B753" s="7" t="s">
        <v>606</v>
      </c>
      <c r="C753" s="9" t="s">
        <v>1313</v>
      </c>
      <c r="D753" s="2"/>
      <c r="E753" s="9" t="s">
        <v>607</v>
      </c>
      <c r="F753" s="2">
        <v>1</v>
      </c>
      <c r="G753" s="9" t="s">
        <v>90</v>
      </c>
      <c r="H753" s="9" t="s">
        <v>608</v>
      </c>
      <c r="I753" s="2">
        <f>VLOOKUP(B753,'[1]FM MIX OSCAR'!$A:$I,8,0)</f>
        <v>78588</v>
      </c>
      <c r="J753" s="2">
        <f>VLOOKUP(B753,'[1]FM MIX OSCAR'!$A:$I,9,0)</f>
        <v>11</v>
      </c>
    </row>
    <row r="754" spans="1:10" x14ac:dyDescent="0.3">
      <c r="A754" s="1">
        <v>753</v>
      </c>
      <c r="B754" s="7" t="s">
        <v>811</v>
      </c>
      <c r="C754" s="9" t="s">
        <v>1313</v>
      </c>
      <c r="D754" s="2"/>
      <c r="E754" s="9" t="s">
        <v>812</v>
      </c>
      <c r="F754" s="2">
        <v>1</v>
      </c>
      <c r="G754" s="9" t="s">
        <v>90</v>
      </c>
      <c r="H754" s="9" t="s">
        <v>813</v>
      </c>
      <c r="I754" s="2">
        <f>VLOOKUP(B754,'[1]FM MIX OSCAR'!$A:$I,8,0)</f>
        <v>70596</v>
      </c>
      <c r="J754" s="2">
        <f>VLOOKUP(B754,'[1]FM MIX OSCAR'!$A:$I,9,0)</f>
        <v>1</v>
      </c>
    </row>
    <row r="755" spans="1:10" x14ac:dyDescent="0.3">
      <c r="A755" s="1">
        <v>754</v>
      </c>
      <c r="B755" s="7" t="s">
        <v>605</v>
      </c>
      <c r="C755" s="9" t="s">
        <v>1313</v>
      </c>
      <c r="D755" s="2"/>
      <c r="E755" s="9" t="s">
        <v>603</v>
      </c>
      <c r="F755" s="2">
        <v>1</v>
      </c>
      <c r="G755" s="9" t="s">
        <v>90</v>
      </c>
      <c r="H755" s="9" t="s">
        <v>604</v>
      </c>
      <c r="I755" s="2">
        <f>VLOOKUP(B755,'[1]FM MIX OSCAR'!$A:$I,8,0)</f>
        <v>338328</v>
      </c>
      <c r="J755" s="2"/>
    </row>
    <row r="756" spans="1:10" x14ac:dyDescent="0.3">
      <c r="A756" s="1">
        <v>755</v>
      </c>
      <c r="B756" s="7" t="s">
        <v>469</v>
      </c>
      <c r="C756" s="9" t="s">
        <v>1313</v>
      </c>
      <c r="D756" s="2"/>
      <c r="E756" s="9" t="s">
        <v>470</v>
      </c>
      <c r="F756" s="2">
        <v>1</v>
      </c>
      <c r="G756" s="9" t="s">
        <v>90</v>
      </c>
      <c r="H756" s="9" t="s">
        <v>471</v>
      </c>
      <c r="I756" s="2">
        <f>VLOOKUP(B756,'[1]FM MIX OSCAR'!$A:$I,8,0)</f>
        <v>1253412</v>
      </c>
      <c r="J756" s="2">
        <f>VLOOKUP(B756,'[1]FM MIX OSCAR'!$A:$I,9,0)</f>
        <v>3</v>
      </c>
    </row>
    <row r="757" spans="1:10" x14ac:dyDescent="0.3">
      <c r="A757" s="1">
        <v>756</v>
      </c>
      <c r="B757" s="7" t="s">
        <v>531</v>
      </c>
      <c r="C757" s="9" t="s">
        <v>1313</v>
      </c>
      <c r="D757" s="2"/>
      <c r="E757" s="9" t="s">
        <v>529</v>
      </c>
      <c r="F757" s="2">
        <v>1</v>
      </c>
      <c r="G757" s="9" t="s">
        <v>90</v>
      </c>
      <c r="H757" s="9" t="s">
        <v>530</v>
      </c>
      <c r="I757" s="2">
        <f>VLOOKUP(B757,'[1]FM MIX OSCAR'!$A:$I,8,0)</f>
        <v>24939036</v>
      </c>
      <c r="J757" s="2">
        <f>VLOOKUP(B757,'[1]FM MIX OSCAR'!$A:$I,9,0)</f>
        <v>21</v>
      </c>
    </row>
    <row r="758" spans="1:10" x14ac:dyDescent="0.3">
      <c r="A758" s="1">
        <v>757</v>
      </c>
      <c r="B758" s="7" t="s">
        <v>533</v>
      </c>
      <c r="C758" s="9" t="s">
        <v>1313</v>
      </c>
      <c r="D758" s="2"/>
      <c r="E758" s="9" t="s">
        <v>529</v>
      </c>
      <c r="F758" s="2">
        <v>4</v>
      </c>
      <c r="G758" s="9" t="s">
        <v>90</v>
      </c>
      <c r="H758" s="9" t="s">
        <v>530</v>
      </c>
      <c r="I758" s="2">
        <f>VLOOKUP(B758,'[1]FM MIX OSCAR'!$A:$I,8,0)</f>
        <v>9679644</v>
      </c>
      <c r="J758" s="2">
        <f>VLOOKUP(B758,'[1]FM MIX OSCAR'!$A:$I,9,0)</f>
        <v>5</v>
      </c>
    </row>
    <row r="759" spans="1:10" x14ac:dyDescent="0.3">
      <c r="A759" s="1">
        <v>758</v>
      </c>
      <c r="B759" s="7" t="s">
        <v>532</v>
      </c>
      <c r="C759" s="9" t="s">
        <v>1313</v>
      </c>
      <c r="D759" s="2"/>
      <c r="E759" s="9" t="s">
        <v>529</v>
      </c>
      <c r="F759" s="2">
        <v>2</v>
      </c>
      <c r="G759" s="9" t="s">
        <v>90</v>
      </c>
      <c r="H759" s="9" t="s">
        <v>530</v>
      </c>
      <c r="I759" s="2">
        <f>VLOOKUP(B759,'[1]FM MIX OSCAR'!$A:$I,8,0)</f>
        <v>41433192</v>
      </c>
      <c r="J759" s="2">
        <f>VLOOKUP(B759,'[1]FM MIX OSCAR'!$A:$I,9,0)</f>
        <v>2</v>
      </c>
    </row>
    <row r="760" spans="1:10" x14ac:dyDescent="0.3">
      <c r="A760" s="1">
        <v>759</v>
      </c>
      <c r="B760" s="7" t="s">
        <v>479</v>
      </c>
      <c r="C760" s="9" t="s">
        <v>1313</v>
      </c>
      <c r="D760" s="2"/>
      <c r="E760" s="9" t="s">
        <v>6</v>
      </c>
      <c r="F760" s="2">
        <v>4</v>
      </c>
      <c r="G760" s="9" t="s">
        <v>63</v>
      </c>
      <c r="H760" s="9" t="s">
        <v>64</v>
      </c>
      <c r="I760" s="2">
        <f>VLOOKUP(B760,'[1]FM MIX OSCAR'!$A:$I,8,0)</f>
        <v>578088</v>
      </c>
      <c r="J760" s="2">
        <f>VLOOKUP(B760,'[1]FM MIX OSCAR'!$A:$I,9,0)</f>
        <v>9</v>
      </c>
    </row>
    <row r="761" spans="1:10" x14ac:dyDescent="0.3">
      <c r="A761" s="1">
        <v>760</v>
      </c>
      <c r="B761" s="7" t="s">
        <v>485</v>
      </c>
      <c r="C761" s="9" t="s">
        <v>1313</v>
      </c>
      <c r="D761" s="2"/>
      <c r="E761" s="9" t="s">
        <v>308</v>
      </c>
      <c r="F761" s="2">
        <v>1</v>
      </c>
      <c r="G761" s="9" t="s">
        <v>69</v>
      </c>
      <c r="H761" s="9" t="s">
        <v>486</v>
      </c>
      <c r="I761" s="2">
        <f>VLOOKUP(B761,'[1]FM MIX OSCAR'!$A:$I,8,0)</f>
        <v>6881112.0000000009</v>
      </c>
      <c r="J761" s="2">
        <f>VLOOKUP(B761,'[1]FM MIX OSCAR'!$A:$I,9,0)</f>
        <v>6</v>
      </c>
    </row>
    <row r="762" spans="1:10" x14ac:dyDescent="0.3">
      <c r="A762" s="1">
        <v>761</v>
      </c>
      <c r="B762" s="7" t="s">
        <v>517</v>
      </c>
      <c r="C762" s="9" t="s">
        <v>1313</v>
      </c>
      <c r="D762" s="2"/>
      <c r="E762" s="9" t="s">
        <v>518</v>
      </c>
      <c r="F762" s="2">
        <v>1</v>
      </c>
      <c r="G762" s="9" t="s">
        <v>90</v>
      </c>
      <c r="H762" s="9" t="s">
        <v>519</v>
      </c>
      <c r="I762" s="2">
        <f>VLOOKUP(B762,'[1]FM MIX OSCAR'!$A:$I,8,0)</f>
        <v>39762864</v>
      </c>
      <c r="J762" s="2"/>
    </row>
    <row r="763" spans="1:10" x14ac:dyDescent="0.3">
      <c r="A763" s="1">
        <v>762</v>
      </c>
      <c r="B763" s="7" t="s">
        <v>538</v>
      </c>
      <c r="C763" s="9" t="s">
        <v>1313</v>
      </c>
      <c r="D763" s="2"/>
      <c r="E763" s="9" t="s">
        <v>253</v>
      </c>
      <c r="F763" s="2">
        <v>1</v>
      </c>
      <c r="G763" s="9" t="s">
        <v>84</v>
      </c>
      <c r="H763" s="9" t="s">
        <v>253</v>
      </c>
      <c r="I763" s="2">
        <f>VLOOKUP(B763,'[1]FM MIX OSCAR'!$A:$I,8,0)</f>
        <v>45288</v>
      </c>
      <c r="J763" s="2">
        <f>VLOOKUP(B763,'[1]FM MIX OSCAR'!$A:$I,9,0)</f>
        <v>23</v>
      </c>
    </row>
    <row r="764" spans="1:10" x14ac:dyDescent="0.3">
      <c r="A764" s="1">
        <v>763</v>
      </c>
      <c r="B764" s="7" t="s">
        <v>388</v>
      </c>
      <c r="C764" s="9" t="s">
        <v>1313</v>
      </c>
      <c r="D764" s="2"/>
      <c r="E764" s="9" t="s">
        <v>253</v>
      </c>
      <c r="F764" s="2">
        <v>2</v>
      </c>
      <c r="G764" s="9" t="s">
        <v>84</v>
      </c>
      <c r="H764" s="9" t="s">
        <v>389</v>
      </c>
      <c r="I764" s="2">
        <f>VLOOKUP(B764,'[1]FM MIX OSCAR'!$A:$I,8,0)</f>
        <v>10656</v>
      </c>
      <c r="J764" s="2">
        <f>VLOOKUP(B764,'[1]FM MIX OSCAR'!$A:$I,9,0)</f>
        <v>174</v>
      </c>
    </row>
    <row r="765" spans="1:10" x14ac:dyDescent="0.3">
      <c r="A765" s="1">
        <v>764</v>
      </c>
      <c r="B765" s="7" t="s">
        <v>461</v>
      </c>
      <c r="C765" s="9" t="s">
        <v>1313</v>
      </c>
      <c r="D765" s="2"/>
      <c r="E765" s="9" t="s">
        <v>253</v>
      </c>
      <c r="F765" s="2">
        <v>2</v>
      </c>
      <c r="G765" s="9" t="s">
        <v>84</v>
      </c>
      <c r="H765" s="9" t="s">
        <v>462</v>
      </c>
      <c r="I765" s="2">
        <f>VLOOKUP(B765,'[1]FM MIX OSCAR'!$A:$I,8,0)</f>
        <v>78588</v>
      </c>
      <c r="J765" s="2"/>
    </row>
    <row r="766" spans="1:10" x14ac:dyDescent="0.3">
      <c r="A766" s="1">
        <v>765</v>
      </c>
      <c r="B766" s="7" t="s">
        <v>805</v>
      </c>
      <c r="C766" s="9" t="s">
        <v>1313</v>
      </c>
      <c r="D766" s="2"/>
      <c r="E766" s="9" t="s">
        <v>806</v>
      </c>
      <c r="F766" s="2">
        <v>1</v>
      </c>
      <c r="G766" s="9" t="s">
        <v>90</v>
      </c>
      <c r="H766" s="9" t="s">
        <v>807</v>
      </c>
      <c r="I766" s="2">
        <f>VLOOKUP(B766,'[1]FM MIX OSCAR'!$A:$I,8,0)</f>
        <v>105228</v>
      </c>
      <c r="J766" s="2">
        <f>VLOOKUP(B766,'[1]FM MIX OSCAR'!$A:$I,9,0)</f>
        <v>10</v>
      </c>
    </row>
    <row r="767" spans="1:10" x14ac:dyDescent="0.3">
      <c r="A767" s="1">
        <v>766</v>
      </c>
      <c r="B767" s="7" t="s">
        <v>808</v>
      </c>
      <c r="C767" s="9" t="s">
        <v>1313</v>
      </c>
      <c r="D767" s="2"/>
      <c r="E767" s="9" t="s">
        <v>809</v>
      </c>
      <c r="F767" s="2">
        <v>1</v>
      </c>
      <c r="G767" s="9" t="s">
        <v>90</v>
      </c>
      <c r="H767" s="9" t="s">
        <v>810</v>
      </c>
      <c r="I767" s="2">
        <f>VLOOKUP(B767,'[1]FM MIX OSCAR'!$A:$I,8,0)</f>
        <v>859140.00000000012</v>
      </c>
      <c r="J767" s="2">
        <f>VLOOKUP(B767,'[1]FM MIX OSCAR'!$A:$I,9,0)</f>
        <v>2</v>
      </c>
    </row>
    <row r="768" spans="1:10" x14ac:dyDescent="0.3">
      <c r="A768" s="1">
        <v>767</v>
      </c>
      <c r="B768" s="7" t="s">
        <v>822</v>
      </c>
      <c r="C768" s="9" t="s">
        <v>1313</v>
      </c>
      <c r="D768" s="2"/>
      <c r="E768" s="9" t="s">
        <v>823</v>
      </c>
      <c r="F768" s="2">
        <v>1</v>
      </c>
      <c r="G768" s="9" t="s">
        <v>682</v>
      </c>
      <c r="H768" s="9" t="s">
        <v>824</v>
      </c>
      <c r="I768" s="2">
        <f>VLOOKUP(B768,'[1]FM MIX OSCAR'!$A:$I,8,0)</f>
        <v>303696</v>
      </c>
      <c r="J768" s="2"/>
    </row>
    <row r="769" spans="1:10" x14ac:dyDescent="0.3">
      <c r="A769" s="1">
        <v>768</v>
      </c>
      <c r="B769" s="7" t="s">
        <v>1140</v>
      </c>
      <c r="C769" s="9" t="s">
        <v>1313</v>
      </c>
      <c r="D769" s="1" t="s">
        <v>1141</v>
      </c>
      <c r="E769" s="1" t="s">
        <v>1</v>
      </c>
      <c r="F769" s="2"/>
      <c r="G769" s="1" t="s">
        <v>3</v>
      </c>
      <c r="H769" s="1" t="s">
        <v>4</v>
      </c>
      <c r="I769" s="2"/>
      <c r="J769" s="2"/>
    </row>
    <row r="770" spans="1:10" x14ac:dyDescent="0.3">
      <c r="A770" s="1">
        <v>769</v>
      </c>
      <c r="B770" s="7" t="s">
        <v>1142</v>
      </c>
      <c r="C770" s="9" t="s">
        <v>1313</v>
      </c>
      <c r="D770" s="1" t="s">
        <v>1141</v>
      </c>
      <c r="E770" s="1" t="s">
        <v>6</v>
      </c>
      <c r="F770" s="2"/>
      <c r="G770" s="1" t="s">
        <v>3</v>
      </c>
      <c r="H770" s="1" t="s">
        <v>4</v>
      </c>
      <c r="I770" s="2"/>
      <c r="J770" s="2"/>
    </row>
    <row r="771" spans="1:10" x14ac:dyDescent="0.3">
      <c r="A771" s="1">
        <v>770</v>
      </c>
      <c r="B771" s="7" t="s">
        <v>1143</v>
      </c>
      <c r="C771" s="9" t="s">
        <v>1313</v>
      </c>
      <c r="D771" s="1" t="s">
        <v>1141</v>
      </c>
      <c r="E771" s="1" t="s">
        <v>8</v>
      </c>
      <c r="F771" s="2"/>
      <c r="G771" s="1" t="s">
        <v>9</v>
      </c>
      <c r="H771" s="1" t="s">
        <v>10</v>
      </c>
      <c r="I771" s="2"/>
      <c r="J771" s="2"/>
    </row>
    <row r="772" spans="1:10" x14ac:dyDescent="0.3">
      <c r="A772" s="1">
        <v>771</v>
      </c>
      <c r="B772" s="7" t="s">
        <v>1144</v>
      </c>
      <c r="C772" s="9" t="s">
        <v>1313</v>
      </c>
      <c r="D772" s="1" t="s">
        <v>1141</v>
      </c>
      <c r="E772" s="1" t="s">
        <v>12</v>
      </c>
      <c r="F772" s="2"/>
      <c r="G772" s="1" t="s">
        <v>13</v>
      </c>
      <c r="H772" s="1" t="s">
        <v>14</v>
      </c>
      <c r="I772" s="2"/>
      <c r="J772" s="2"/>
    </row>
    <row r="773" spans="1:10" x14ac:dyDescent="0.3">
      <c r="A773" s="1">
        <v>772</v>
      </c>
      <c r="B773" s="7">
        <v>60101257</v>
      </c>
      <c r="C773" s="9" t="s">
        <v>1313</v>
      </c>
      <c r="D773" s="1" t="s">
        <v>1141</v>
      </c>
      <c r="E773" s="1" t="s">
        <v>35</v>
      </c>
      <c r="F773" s="2"/>
      <c r="G773" s="1" t="s">
        <v>9</v>
      </c>
      <c r="H773" s="1" t="s">
        <v>30</v>
      </c>
      <c r="I773" s="2"/>
      <c r="J773" s="2"/>
    </row>
    <row r="774" spans="1:10" x14ac:dyDescent="0.3">
      <c r="A774" s="1">
        <v>773</v>
      </c>
      <c r="B774" s="7" t="s">
        <v>1145</v>
      </c>
      <c r="C774" s="9" t="s">
        <v>1313</v>
      </c>
      <c r="D774" s="1" t="s">
        <v>1141</v>
      </c>
      <c r="E774" s="1" t="s">
        <v>1083</v>
      </c>
      <c r="F774" s="2"/>
      <c r="G774" s="1" t="s">
        <v>9</v>
      </c>
      <c r="H774" s="1" t="s">
        <v>30</v>
      </c>
      <c r="I774" s="2"/>
      <c r="J774" s="2"/>
    </row>
    <row r="775" spans="1:10" x14ac:dyDescent="0.3">
      <c r="A775" s="1">
        <v>774</v>
      </c>
      <c r="B775" s="7" t="s">
        <v>1146</v>
      </c>
      <c r="C775" s="9" t="s">
        <v>1313</v>
      </c>
      <c r="D775" s="1" t="s">
        <v>1141</v>
      </c>
      <c r="E775" s="1" t="s">
        <v>1085</v>
      </c>
      <c r="F775" s="2"/>
      <c r="G775" s="1" t="s">
        <v>9</v>
      </c>
      <c r="H775" s="1" t="s">
        <v>30</v>
      </c>
      <c r="I775" s="2"/>
      <c r="J775" s="2"/>
    </row>
    <row r="776" spans="1:10" x14ac:dyDescent="0.3">
      <c r="A776" s="1">
        <v>775</v>
      </c>
      <c r="B776" s="7">
        <v>445120236</v>
      </c>
      <c r="C776" s="9" t="s">
        <v>1313</v>
      </c>
      <c r="D776" s="1" t="s">
        <v>1141</v>
      </c>
      <c r="E776" s="1" t="s">
        <v>1147</v>
      </c>
      <c r="F776" s="2"/>
      <c r="G776" s="1" t="s">
        <v>1087</v>
      </c>
      <c r="H776" s="1" t="s">
        <v>18</v>
      </c>
      <c r="I776" s="2"/>
      <c r="J776" s="2"/>
    </row>
    <row r="777" spans="1:10" x14ac:dyDescent="0.3">
      <c r="A777" s="1">
        <v>776</v>
      </c>
      <c r="B777" s="7">
        <v>3973228</v>
      </c>
      <c r="C777" s="9" t="s">
        <v>1313</v>
      </c>
      <c r="D777" s="1" t="s">
        <v>1141</v>
      </c>
      <c r="E777" s="1" t="s">
        <v>1148</v>
      </c>
      <c r="F777" s="2"/>
      <c r="G777" s="1" t="s">
        <v>40</v>
      </c>
      <c r="H777" s="1" t="s">
        <v>27</v>
      </c>
      <c r="I777" s="2"/>
      <c r="J777" s="2"/>
    </row>
    <row r="778" spans="1:10" x14ac:dyDescent="0.3">
      <c r="A778" s="1">
        <v>777</v>
      </c>
      <c r="B778" s="7" t="s">
        <v>1149</v>
      </c>
      <c r="C778" s="9" t="s">
        <v>1313</v>
      </c>
      <c r="D778" s="1" t="s">
        <v>1141</v>
      </c>
      <c r="E778" s="1" t="s">
        <v>1150</v>
      </c>
      <c r="F778" s="2"/>
      <c r="G778" s="1" t="s">
        <v>40</v>
      </c>
      <c r="H778" s="1" t="s">
        <v>55</v>
      </c>
      <c r="I778" s="2"/>
      <c r="J778" s="2"/>
    </row>
    <row r="779" spans="1:10" x14ac:dyDescent="0.3">
      <c r="A779" s="1">
        <v>778</v>
      </c>
      <c r="B779" s="7" t="s">
        <v>1151</v>
      </c>
      <c r="C779" s="9" t="s">
        <v>1313</v>
      </c>
      <c r="D779" s="1" t="s">
        <v>1141</v>
      </c>
      <c r="E779" s="1" t="s">
        <v>945</v>
      </c>
      <c r="F779" s="2"/>
      <c r="G779" s="1" t="s">
        <v>40</v>
      </c>
      <c r="H779" s="1" t="s">
        <v>55</v>
      </c>
      <c r="I779" s="2"/>
      <c r="J779" s="2"/>
    </row>
    <row r="780" spans="1:10" x14ac:dyDescent="0.3">
      <c r="A780" s="1">
        <v>779</v>
      </c>
      <c r="B780" s="7" t="s">
        <v>1152</v>
      </c>
      <c r="C780" s="9" t="s">
        <v>1313</v>
      </c>
      <c r="D780" s="1" t="s">
        <v>1141</v>
      </c>
      <c r="E780" s="1" t="s">
        <v>946</v>
      </c>
      <c r="F780" s="2"/>
      <c r="G780" s="1" t="s">
        <v>40</v>
      </c>
      <c r="H780" s="1" t="s">
        <v>55</v>
      </c>
      <c r="I780" s="2"/>
      <c r="J780" s="2"/>
    </row>
    <row r="781" spans="1:10" x14ac:dyDescent="0.3">
      <c r="A781" s="1">
        <v>780</v>
      </c>
      <c r="B781" s="7" t="s">
        <v>1153</v>
      </c>
      <c r="C781" s="9" t="s">
        <v>1313</v>
      </c>
      <c r="D781" s="1" t="s">
        <v>1141</v>
      </c>
      <c r="E781" s="1" t="s">
        <v>1032</v>
      </c>
      <c r="F781" s="2"/>
      <c r="G781" s="1" t="s">
        <v>26</v>
      </c>
      <c r="H781" s="1" t="s">
        <v>947</v>
      </c>
      <c r="I781" s="2"/>
      <c r="J781" s="2"/>
    </row>
    <row r="782" spans="1:10" x14ac:dyDescent="0.3">
      <c r="A782" s="1">
        <v>781</v>
      </c>
      <c r="B782" s="7" t="s">
        <v>1154</v>
      </c>
      <c r="C782" s="9" t="s">
        <v>1313</v>
      </c>
      <c r="D782" s="1" t="s">
        <v>1141</v>
      </c>
      <c r="E782" s="1" t="s">
        <v>948</v>
      </c>
      <c r="F782" s="2"/>
      <c r="G782" s="1" t="s">
        <v>26</v>
      </c>
      <c r="H782" s="1" t="s">
        <v>1091</v>
      </c>
      <c r="I782" s="2"/>
      <c r="J782" s="2"/>
    </row>
    <row r="783" spans="1:10" x14ac:dyDescent="0.3">
      <c r="A783" s="1">
        <v>782</v>
      </c>
      <c r="B783" s="7" t="s">
        <v>1155</v>
      </c>
      <c r="C783" s="9" t="s">
        <v>1313</v>
      </c>
      <c r="D783" s="1" t="s">
        <v>1141</v>
      </c>
      <c r="E783" s="1" t="s">
        <v>955</v>
      </c>
      <c r="F783" s="2"/>
      <c r="G783" s="1" t="s">
        <v>26</v>
      </c>
      <c r="H783" s="1" t="s">
        <v>50</v>
      </c>
      <c r="I783" s="2"/>
      <c r="J783" s="2"/>
    </row>
    <row r="784" spans="1:10" x14ac:dyDescent="0.3">
      <c r="A784" s="1">
        <v>783</v>
      </c>
      <c r="B784" s="7" t="s">
        <v>1156</v>
      </c>
      <c r="C784" s="9" t="s">
        <v>1313</v>
      </c>
      <c r="D784" s="1" t="s">
        <v>1141</v>
      </c>
      <c r="E784" s="1" t="s">
        <v>952</v>
      </c>
      <c r="F784" s="2"/>
      <c r="G784" s="1" t="s">
        <v>26</v>
      </c>
      <c r="H784" s="1" t="s">
        <v>22</v>
      </c>
      <c r="I784" s="2"/>
      <c r="J784" s="2"/>
    </row>
    <row r="785" spans="1:10" x14ac:dyDescent="0.3">
      <c r="A785" s="1">
        <v>784</v>
      </c>
      <c r="B785" s="7" t="s">
        <v>1157</v>
      </c>
      <c r="C785" s="9" t="s">
        <v>1313</v>
      </c>
      <c r="D785" s="1" t="s">
        <v>1141</v>
      </c>
      <c r="E785" s="1" t="s">
        <v>953</v>
      </c>
      <c r="F785" s="2"/>
      <c r="G785" s="1" t="s">
        <v>26</v>
      </c>
      <c r="H785" s="1" t="s">
        <v>50</v>
      </c>
      <c r="I785" s="2"/>
      <c r="J785" s="2"/>
    </row>
    <row r="786" spans="1:10" x14ac:dyDescent="0.3">
      <c r="A786" s="1">
        <v>785</v>
      </c>
      <c r="B786" s="7" t="s">
        <v>1158</v>
      </c>
      <c r="C786" s="9" t="s">
        <v>1313</v>
      </c>
      <c r="D786" s="1" t="s">
        <v>1141</v>
      </c>
      <c r="E786" s="1" t="s">
        <v>954</v>
      </c>
      <c r="F786" s="2"/>
      <c r="G786" s="1" t="s">
        <v>26</v>
      </c>
      <c r="H786" s="1" t="s">
        <v>50</v>
      </c>
      <c r="I786" s="2"/>
      <c r="J786" s="2"/>
    </row>
    <row r="787" spans="1:10" x14ac:dyDescent="0.3">
      <c r="A787" s="1">
        <v>786</v>
      </c>
      <c r="B787" s="7" t="s">
        <v>1159</v>
      </c>
      <c r="C787" s="9" t="s">
        <v>1313</v>
      </c>
      <c r="D787" s="1" t="s">
        <v>1141</v>
      </c>
      <c r="E787" s="1" t="s">
        <v>1039</v>
      </c>
      <c r="F787" s="2"/>
      <c r="G787" s="1" t="s">
        <v>26</v>
      </c>
      <c r="H787" s="1" t="s">
        <v>22</v>
      </c>
      <c r="I787" s="2"/>
      <c r="J787" s="2"/>
    </row>
    <row r="788" spans="1:10" x14ac:dyDescent="0.3">
      <c r="A788" s="1">
        <v>787</v>
      </c>
      <c r="B788" s="7" t="s">
        <v>1040</v>
      </c>
      <c r="C788" s="9" t="s">
        <v>1313</v>
      </c>
      <c r="D788" s="1" t="s">
        <v>1141</v>
      </c>
      <c r="E788" s="1" t="s">
        <v>23</v>
      </c>
      <c r="F788" s="2"/>
      <c r="G788" s="1" t="s">
        <v>3</v>
      </c>
      <c r="H788" s="1" t="s">
        <v>4</v>
      </c>
      <c r="I788" s="2"/>
      <c r="J788" s="2"/>
    </row>
    <row r="789" spans="1:10" x14ac:dyDescent="0.3">
      <c r="A789" s="1">
        <v>788</v>
      </c>
      <c r="B789" s="7" t="s">
        <v>1041</v>
      </c>
      <c r="C789" s="9" t="s">
        <v>1313</v>
      </c>
      <c r="D789" s="1" t="s">
        <v>1141</v>
      </c>
      <c r="E789" s="1" t="s">
        <v>32</v>
      </c>
      <c r="F789" s="2"/>
      <c r="G789" s="1" t="s">
        <v>33</v>
      </c>
      <c r="H789" s="1" t="s">
        <v>34</v>
      </c>
      <c r="I789" s="2"/>
      <c r="J789" s="2"/>
    </row>
    <row r="790" spans="1:10" x14ac:dyDescent="0.3">
      <c r="A790" s="1">
        <v>789</v>
      </c>
      <c r="B790" s="7" t="s">
        <v>36</v>
      </c>
      <c r="C790" s="9" t="s">
        <v>1313</v>
      </c>
      <c r="D790" s="1" t="s">
        <v>1141</v>
      </c>
      <c r="E790" s="1" t="s">
        <v>958</v>
      </c>
      <c r="F790" s="2"/>
      <c r="G790" s="1" t="s">
        <v>21</v>
      </c>
      <c r="H790" s="1" t="s">
        <v>22</v>
      </c>
      <c r="I790" s="2"/>
      <c r="J790" s="2"/>
    </row>
    <row r="791" spans="1:10" x14ac:dyDescent="0.3">
      <c r="A791" s="1">
        <v>790</v>
      </c>
      <c r="B791" s="7" t="s">
        <v>1119</v>
      </c>
      <c r="C791" s="9" t="s">
        <v>1313</v>
      </c>
      <c r="D791" s="1" t="s">
        <v>1141</v>
      </c>
      <c r="E791" s="1" t="s">
        <v>293</v>
      </c>
      <c r="F791" s="2"/>
      <c r="G791" s="1" t="s">
        <v>44</v>
      </c>
      <c r="H791" s="1" t="s">
        <v>45</v>
      </c>
      <c r="I791" s="2"/>
      <c r="J791" s="2"/>
    </row>
    <row r="792" spans="1:10" x14ac:dyDescent="0.3">
      <c r="A792" s="1">
        <v>791</v>
      </c>
      <c r="B792" s="7" t="s">
        <v>1160</v>
      </c>
      <c r="C792" s="9" t="s">
        <v>1313</v>
      </c>
      <c r="D792" s="1" t="s">
        <v>1141</v>
      </c>
      <c r="E792" s="1" t="s">
        <v>1161</v>
      </c>
      <c r="F792" s="2"/>
      <c r="G792" s="1" t="s">
        <v>49</v>
      </c>
      <c r="H792" s="1" t="s">
        <v>57</v>
      </c>
      <c r="I792" s="2"/>
      <c r="J792" s="2"/>
    </row>
    <row r="793" spans="1:10" x14ac:dyDescent="0.3">
      <c r="A793" s="1">
        <v>792</v>
      </c>
      <c r="B793" s="7" t="s">
        <v>1162</v>
      </c>
      <c r="C793" s="9" t="s">
        <v>1313</v>
      </c>
      <c r="D793" s="1" t="s">
        <v>1141</v>
      </c>
      <c r="E793" s="1" t="s">
        <v>1163</v>
      </c>
      <c r="F793" s="2"/>
      <c r="G793" s="1" t="s">
        <v>40</v>
      </c>
      <c r="H793" s="1" t="s">
        <v>27</v>
      </c>
      <c r="I793" s="2"/>
      <c r="J793" s="2"/>
    </row>
  </sheetData>
  <conditionalFormatting sqref="A1:B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 ALL PARTS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syofyan</dc:creator>
  <cp:lastModifiedBy>ali syofyan</cp:lastModifiedBy>
  <dcterms:created xsi:type="dcterms:W3CDTF">2026-05-06T06:19:41Z</dcterms:created>
  <dcterms:modified xsi:type="dcterms:W3CDTF">2026-05-31T05:31:44Z</dcterms:modified>
</cp:coreProperties>
</file>